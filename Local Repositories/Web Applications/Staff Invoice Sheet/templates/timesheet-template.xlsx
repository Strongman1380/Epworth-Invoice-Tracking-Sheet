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0" yWindow="500" windowWidth="42640" windowHeight="194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DT.BREATH">Table5[DT.Breath]</definedName>
    <definedName name="DT.Patch">Table8[DT.Patch]</definedName>
    <definedName name="DT.Swab">Table6[DT.Swab]</definedName>
    <definedName name="DT.Sweat">Table9[DT.Sweat]</definedName>
    <definedName name="DT.Urine">Table7[DT.Urine]</definedName>
    <definedName name="EL">Sheet1!$AW$8:$AW$9</definedName>
    <definedName name="F">Sheet1!$AU$8:$AU$9</definedName>
    <definedName name="FS.IH">Table3[[#All],[Prep - Advance Cancel]]</definedName>
    <definedName name="FS.OH">Sheet2!$G$2:$G$5</definedName>
    <definedName name="H">Sheet1!$AT$8:$AT$9</definedName>
    <definedName name="M">Sheet1!$AQ$8:$AQ$9</definedName>
    <definedName name="O">Sheet1!$AS$8:$AS$9</definedName>
    <definedName name="PL">Sheet1!$AV$8:$AV$9</definedName>
    <definedName name="PT">Sheet2!$E$2:$E$6</definedName>
    <definedName name="S">Sheet1!$AR$8:$AR$9</definedName>
    <definedName name="T">Sheet1!$AP$8:$AP$9</definedName>
    <definedName name="table">Sheet1!$M$8:$P$97</definedName>
    <definedName name="_xlnm.Print_Area" localSheetId="0">'Sheet1'!$A$1:$AC$99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6">
    <numFmt numFmtId="164" formatCode="[$-409]h:mm\ AM/PM;@"/>
    <numFmt numFmtId="165" formatCode="_(* #,##0.0_);_(* \(#,##0.0\);_(* &quot;-&quot;??_);_(@_)"/>
    <numFmt numFmtId="166" formatCode="m/d/yy;@"/>
    <numFmt numFmtId="167" formatCode="#\ ?/4"/>
    <numFmt numFmtId="168" formatCode="[h]:mm"/>
    <numFmt numFmtId="169" formatCode="h:mm;@"/>
  </numFmts>
  <fonts count="27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b val="1"/>
      <color indexed="62"/>
      <sz val="10"/>
    </font>
    <font>
      <name val="Arial Narrow"/>
      <family val="2"/>
      <b val="1"/>
      <sz val="10"/>
    </font>
    <font>
      <name val="Arial Narrow"/>
      <family val="2"/>
      <sz val="10"/>
    </font>
    <font>
      <name val="Arial Narrow"/>
      <family val="2"/>
      <b val="1"/>
      <sz val="11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color indexed="8"/>
      <sz val="10"/>
    </font>
    <font>
      <name val="Arial"/>
      <family val="2"/>
      <b val="1"/>
      <i val="1"/>
      <color indexed="8"/>
      <sz val="10"/>
    </font>
    <font>
      <name val="Arial Narrow"/>
      <family val="2"/>
      <sz val="11"/>
    </font>
    <font>
      <name val="Arial"/>
      <family val="2"/>
      <sz val="10"/>
    </font>
    <font>
      <name val="Arial Narrow"/>
      <family val="2"/>
      <sz val="14"/>
    </font>
    <font>
      <name val="Arial"/>
      <family val="2"/>
      <color indexed="9"/>
      <sz val="10"/>
    </font>
    <font>
      <name val="Arial"/>
      <family val="2"/>
      <sz val="10"/>
    </font>
    <font>
      <name val="Arial"/>
      <family val="2"/>
      <color indexed="9"/>
      <sz val="10"/>
    </font>
    <font>
      <name val="Arial"/>
      <family val="2"/>
      <sz val="11"/>
    </font>
    <font>
      <name val="Arial"/>
      <family val="2"/>
      <sz val="10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Calibri"/>
      <family val="2"/>
      <sz val="11"/>
      <scheme val="minor"/>
    </font>
    <font>
      <name val="Calibri"/>
      <family val="2"/>
      <b val="1"/>
      <sz val="12"/>
      <scheme val="minor"/>
    </font>
    <font>
      <name val="Arial"/>
      <family val="2"/>
      <color rgb="FF212121"/>
      <sz val="10"/>
    </font>
  </fonts>
  <fills count="10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4" tint="0.3999755851924192"/>
      </left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 style="thin">
        <color theme="4" tint="0.3999755851924192"/>
      </right>
      <top style="thin">
        <color theme="4" tint="0.3999755851924192"/>
      </top>
      <bottom/>
      <diagonal/>
    </border>
  </borders>
  <cellStyleXfs count="3">
    <xf numFmtId="0" fontId="0" fillId="0" borderId="0"/>
    <xf numFmtId="43" fontId="20" fillId="0" borderId="0"/>
    <xf numFmtId="0" fontId="1" fillId="0" borderId="0"/>
  </cellStyleXfs>
  <cellXfs count="152">
    <xf numFmtId="0" fontId="0" fillId="0" borderId="0" pivotButton="0" quotePrefix="0" xfId="0"/>
    <xf numFmtId="164" fontId="0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164" fontId="7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left" indent="15"/>
    </xf>
    <xf numFmtId="0" fontId="12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165" fontId="11" fillId="0" borderId="0" pivotButton="0" quotePrefix="0" xfId="1"/>
    <xf numFmtId="2" fontId="0" fillId="0" borderId="4" applyAlignment="1" pivotButton="0" quotePrefix="0" xfId="1">
      <alignment horizontal="center"/>
    </xf>
    <xf numFmtId="0" fontId="0" fillId="0" borderId="5" applyAlignment="1" applyProtection="1" pivotButton="0" quotePrefix="0" xfId="0">
      <alignment horizontal="center"/>
      <protection locked="0" hidden="0"/>
    </xf>
    <xf numFmtId="14" fontId="0" fillId="0" borderId="5" applyAlignment="1" applyProtection="1" pivotButton="0" quotePrefix="0" xfId="0">
      <alignment horizontal="center"/>
      <protection locked="0" hidden="0"/>
    </xf>
    <xf numFmtId="166" fontId="0" fillId="0" borderId="5" applyAlignment="1" applyProtection="1" pivotButton="0" quotePrefix="0" xfId="0">
      <alignment horizontal="center"/>
      <protection locked="0" hidden="0"/>
    </xf>
    <xf numFmtId="164" fontId="0" fillId="0" borderId="5" applyAlignment="1" applyProtection="1" pivotButton="0" quotePrefix="0" xfId="0">
      <alignment horizontal="center"/>
      <protection locked="0" hidden="0"/>
    </xf>
    <xf numFmtId="0" fontId="16" fillId="0" borderId="0" pivotButton="0" quotePrefix="0" xfId="0"/>
    <xf numFmtId="0" fontId="16" fillId="0" borderId="0" applyAlignment="1" pivotButton="0" quotePrefix="0" xfId="0">
      <alignment horizontal="left"/>
    </xf>
    <xf numFmtId="43" fontId="10" fillId="0" borderId="10" applyAlignment="1" pivotButton="0" quotePrefix="0" xfId="0">
      <alignment horizontal="center"/>
    </xf>
    <xf numFmtId="165" fontId="0" fillId="0" borderId="11" applyAlignment="1" applyProtection="1" pivotButton="0" quotePrefix="0" xfId="1">
      <alignment horizontal="center"/>
      <protection locked="1" hidden="1"/>
    </xf>
    <xf numFmtId="165" fontId="0" fillId="0" borderId="12" applyAlignment="1" applyProtection="1" pivotButton="0" quotePrefix="0" xfId="1">
      <alignment horizontal="center"/>
      <protection locked="1" hidden="1"/>
    </xf>
    <xf numFmtId="165" fontId="0" fillId="0" borderId="3" applyAlignment="1" applyProtection="1" pivotButton="0" quotePrefix="0" xfId="1">
      <alignment horizontal="center"/>
      <protection locked="1" hidden="1"/>
    </xf>
    <xf numFmtId="165" fontId="10" fillId="0" borderId="9" applyAlignment="1" applyProtection="1" pivotButton="0" quotePrefix="0" xfId="1">
      <alignment horizontal="center"/>
      <protection locked="1" hidden="1"/>
    </xf>
    <xf numFmtId="2" fontId="0" fillId="0" borderId="5" applyAlignment="1" applyProtection="1" pivotButton="0" quotePrefix="0" xfId="0">
      <alignment horizontal="center"/>
      <protection locked="0" hidden="0"/>
    </xf>
    <xf numFmtId="41" fontId="0" fillId="0" borderId="4" applyAlignment="1" applyProtection="1" pivotButton="0" quotePrefix="0" xfId="1">
      <alignment horizontal="center"/>
      <protection locked="0" hidden="0"/>
    </xf>
    <xf numFmtId="41" fontId="0" fillId="0" borderId="5" applyAlignment="1" applyProtection="1" pivotButton="0" quotePrefix="0" xfId="1">
      <alignment horizontal="center"/>
      <protection locked="0" hidden="0"/>
    </xf>
    <xf numFmtId="41" fontId="0" fillId="0" borderId="6" applyAlignment="1" applyProtection="1" pivotButton="0" quotePrefix="0" xfId="1">
      <alignment horizontal="center"/>
      <protection locked="0" hidden="0"/>
    </xf>
    <xf numFmtId="166" fontId="0" fillId="0" borderId="18" applyAlignment="1" applyProtection="1" pivotButton="0" quotePrefix="0" xfId="0">
      <alignment horizontal="center"/>
      <protection locked="0" hidden="0"/>
    </xf>
    <xf numFmtId="18" fontId="0" fillId="0" borderId="6" applyAlignment="1" applyProtection="1" pivotButton="0" quotePrefix="0" xfId="0">
      <alignment horizontal="center"/>
      <protection locked="0" hidden="0"/>
    </xf>
    <xf numFmtId="1" fontId="0" fillId="0" borderId="5" applyAlignment="1" applyProtection="1" pivotButton="0" quotePrefix="0" xfId="1">
      <alignment horizontal="center"/>
      <protection locked="0" hidden="0"/>
    </xf>
    <xf numFmtId="2" fontId="0" fillId="0" borderId="20" applyAlignment="1" pivotButton="0" quotePrefix="0" xfId="1">
      <alignment horizontal="center"/>
    </xf>
    <xf numFmtId="2" fontId="10" fillId="0" borderId="9" applyAlignment="1" pivotButton="0" quotePrefix="0" xfId="0">
      <alignment horizontal="center"/>
    </xf>
    <xf numFmtId="2" fontId="0" fillId="0" borderId="0" pivotButton="0" quotePrefix="0" xfId="0"/>
    <xf numFmtId="167" fontId="0" fillId="0" borderId="0" pivotButton="0" quotePrefix="0" xfId="0"/>
    <xf numFmtId="2" fontId="18" fillId="0" borderId="0" applyAlignment="1" pivotButton="0" quotePrefix="0" xfId="1">
      <alignment horizontal="center"/>
    </xf>
    <xf numFmtId="0" fontId="18" fillId="0" borderId="0" pivotButton="0" quotePrefix="0" xfId="0"/>
    <xf numFmtId="168" fontId="0" fillId="0" borderId="0" pivotButton="0" quotePrefix="0" xfId="0"/>
    <xf numFmtId="2" fontId="5" fillId="0" borderId="8" applyAlignment="1" applyProtection="1" pivotButton="0" quotePrefix="0" xfId="1">
      <alignment horizontal="center"/>
      <protection locked="1" hidden="1"/>
    </xf>
    <xf numFmtId="2" fontId="0" fillId="0" borderId="1" applyAlignment="1" pivotButton="0" quotePrefix="0" xfId="1">
      <alignment horizontal="center"/>
    </xf>
    <xf numFmtId="2" fontId="3" fillId="0" borderId="8" applyAlignment="1" applyProtection="1" pivotButton="0" quotePrefix="0" xfId="1">
      <alignment horizontal="center"/>
      <protection locked="1" hidden="1"/>
    </xf>
    <xf numFmtId="2" fontId="3" fillId="0" borderId="8" applyAlignment="1" pivotButton="0" quotePrefix="0" xfId="1">
      <alignment horizontal="center"/>
    </xf>
    <xf numFmtId="1" fontId="17" fillId="0" borderId="0" applyAlignment="1" applyProtection="1" pivotButton="0" quotePrefix="0" xfId="0">
      <alignment horizontal="left"/>
      <protection locked="0" hidden="0"/>
    </xf>
    <xf numFmtId="2" fontId="20" fillId="5" borderId="20" applyAlignment="1" pivotButton="0" quotePrefix="0" xfId="1">
      <alignment horizontal="center"/>
    </xf>
    <xf numFmtId="2" fontId="5" fillId="5" borderId="20" applyAlignment="1" applyProtection="1" pivotButton="0" quotePrefix="0" xfId="1">
      <alignment horizontal="center"/>
      <protection locked="1" hidden="1"/>
    </xf>
    <xf numFmtId="1" fontId="0" fillId="0" borderId="0" applyAlignment="1" applyProtection="1" pivotButton="0" quotePrefix="0" xfId="0">
      <alignment horizontal="center"/>
      <protection locked="0" hidden="0"/>
    </xf>
    <xf numFmtId="1" fontId="0" fillId="0" borderId="5" applyAlignment="1" applyProtection="1" pivotButton="0" quotePrefix="0" xfId="0">
      <alignment horizontal="center"/>
      <protection locked="0" hidden="0"/>
    </xf>
    <xf numFmtId="2" fontId="17" fillId="0" borderId="5" applyAlignment="1" applyProtection="1" pivotButton="0" quotePrefix="0" xfId="0">
      <alignment horizontal="center" vertical="center"/>
      <protection locked="0" hidden="0"/>
    </xf>
    <xf numFmtId="2" fontId="0" fillId="0" borderId="5" applyAlignment="1" applyProtection="1" pivotButton="0" quotePrefix="0" xfId="1">
      <alignment horizontal="center"/>
      <protection locked="0" hidden="0"/>
    </xf>
    <xf numFmtId="164" fontId="0" fillId="0" borderId="6" applyAlignment="1" applyProtection="1" pivotButton="0" quotePrefix="0" xfId="0">
      <alignment horizontal="center"/>
      <protection locked="0" hidden="0"/>
    </xf>
    <xf numFmtId="0" fontId="0" fillId="0" borderId="5" applyProtection="1" pivotButton="0" quotePrefix="0" xfId="0">
      <protection locked="0" hidden="0"/>
    </xf>
    <xf numFmtId="14" fontId="0" fillId="0" borderId="5" applyProtection="1" pivotButton="0" quotePrefix="0" xfId="0">
      <protection locked="0" hidden="0"/>
    </xf>
    <xf numFmtId="164" fontId="0" fillId="0" borderId="5" applyProtection="1" pivotButton="0" quotePrefix="0" xfId="0">
      <protection locked="0" hidden="0"/>
    </xf>
    <xf numFmtId="1" fontId="0" fillId="0" borderId="5" applyProtection="1" pivotButton="0" quotePrefix="0" xfId="0">
      <protection locked="0" hidden="0"/>
    </xf>
    <xf numFmtId="2" fontId="20" fillId="5" borderId="5" applyAlignment="1" pivotButton="0" quotePrefix="0" xfId="1">
      <alignment horizontal="center"/>
    </xf>
    <xf numFmtId="14" fontId="0" fillId="0" borderId="8" applyAlignment="1" pivotButton="0" quotePrefix="0" xfId="0">
      <alignment horizontal="center"/>
    </xf>
    <xf numFmtId="166" fontId="10" fillId="0" borderId="17" applyAlignment="1" pivotButton="0" quotePrefix="0" xfId="0">
      <alignment horizontal="center"/>
    </xf>
    <xf numFmtId="164" fontId="6" fillId="0" borderId="8" applyAlignment="1" pivotButton="0" quotePrefix="0" xfId="0">
      <alignment horizontal="center"/>
    </xf>
    <xf numFmtId="164" fontId="6" fillId="0" borderId="7" applyAlignment="1" pivotButton="0" quotePrefix="0" xfId="0">
      <alignment horizontal="center"/>
    </xf>
    <xf numFmtId="0" fontId="10" fillId="0" borderId="8" applyAlignment="1" pivotButton="0" quotePrefix="0" xfId="0">
      <alignment horizontal="center"/>
    </xf>
    <xf numFmtId="43" fontId="10" fillId="2" borderId="9" applyAlignment="1" pivotButton="0" quotePrefix="0" xfId="0">
      <alignment horizontal="center"/>
    </xf>
    <xf numFmtId="2" fontId="10" fillId="2" borderId="7" applyAlignment="1" pivotButton="0" quotePrefix="0" xfId="0">
      <alignment horizontal="center"/>
    </xf>
    <xf numFmtId="2" fontId="17" fillId="0" borderId="8" applyAlignment="1" pivotButton="0" quotePrefix="0" xfId="0">
      <alignment horizontal="center" vertical="center"/>
    </xf>
    <xf numFmtId="1" fontId="17" fillId="0" borderId="8" applyAlignment="1" pivotButton="0" quotePrefix="0" xfId="0">
      <alignment horizontal="center" vertical="center"/>
    </xf>
    <xf numFmtId="165" fontId="10" fillId="0" borderId="19" applyAlignment="1" pivotButton="0" quotePrefix="0" xfId="1">
      <alignment horizontal="center"/>
    </xf>
    <xf numFmtId="165" fontId="10" fillId="0" borderId="10" applyAlignment="1" pivotButton="0" quotePrefix="0" xfId="1">
      <alignment horizontal="center"/>
    </xf>
    <xf numFmtId="0" fontId="3" fillId="0" borderId="0" pivotButton="0" quotePrefix="0" xfId="0"/>
    <xf numFmtId="18" fontId="17" fillId="0" borderId="27" applyAlignment="1" applyProtection="1" pivotButton="0" quotePrefix="0" xfId="0">
      <alignment horizontal="center"/>
      <protection locked="0" hidden="0"/>
    </xf>
    <xf numFmtId="18" fontId="0" fillId="0" borderId="5" applyAlignment="1" applyProtection="1" pivotButton="0" quotePrefix="0" xfId="0">
      <alignment horizontal="center"/>
      <protection locked="0" hidden="0"/>
    </xf>
    <xf numFmtId="18" fontId="17" fillId="0" borderId="5" applyAlignment="1" applyProtection="1" pivotButton="0" quotePrefix="0" xfId="0">
      <alignment horizontal="center"/>
      <protection locked="0" hidden="0"/>
    </xf>
    <xf numFmtId="0" fontId="17" fillId="0" borderId="0" pivotButton="0" quotePrefix="0" xfId="0"/>
    <xf numFmtId="0" fontId="9" fillId="0" borderId="0" applyAlignment="1" pivotButton="0" quotePrefix="0" xfId="0">
      <alignment vertical="top"/>
    </xf>
    <xf numFmtId="0" fontId="7" fillId="0" borderId="0" applyAlignment="1" pivotButton="0" quotePrefix="0" xfId="0">
      <alignment horizontal="center" textRotation="45"/>
    </xf>
    <xf numFmtId="0" fontId="3" fillId="0" borderId="22" pivotButton="0" quotePrefix="0" xfId="0"/>
    <xf numFmtId="0" fontId="3" fillId="0" borderId="11" pivotButton="0" quotePrefix="0" xfId="0"/>
    <xf numFmtId="0" fontId="19" fillId="0" borderId="0" pivotButton="0" quotePrefix="0" xfId="0"/>
    <xf numFmtId="0" fontId="3" fillId="0" borderId="2" pivotButton="0" quotePrefix="0" xfId="0"/>
    <xf numFmtId="2" fontId="18" fillId="0" borderId="0" applyAlignment="1" pivotButton="0" quotePrefix="0" xfId="1">
      <alignment horizontal="center"/>
    </xf>
    <xf numFmtId="168" fontId="3" fillId="0" borderId="23" pivotButton="0" quotePrefix="0" xfId="0"/>
    <xf numFmtId="168" fontId="3" fillId="4" borderId="13" pivotButton="0" quotePrefix="0" xfId="0"/>
    <xf numFmtId="0" fontId="3" fillId="0" borderId="0" applyAlignment="1" pivotButton="0" quotePrefix="0" xfId="0">
      <alignment horizontal="right"/>
    </xf>
    <xf numFmtId="0" fontId="0" fillId="0" borderId="0" pivotButton="0" quotePrefix="1" xfId="0"/>
    <xf numFmtId="46" fontId="0" fillId="0" borderId="0" pivotButton="0" quotePrefix="0" xfId="0"/>
    <xf numFmtId="14" fontId="3" fillId="0" borderId="0" pivotButton="0" quotePrefix="0" xfId="0"/>
    <xf numFmtId="0" fontId="0" fillId="0" borderId="2" pivotButton="0" quotePrefix="0" xfId="0"/>
    <xf numFmtId="0" fontId="8" fillId="3" borderId="2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169" fontId="8" fillId="3" borderId="14" applyAlignment="1" pivotButton="0" quotePrefix="0" xfId="1">
      <alignment horizontal="center" wrapText="1"/>
    </xf>
    <xf numFmtId="169" fontId="8" fillId="3" borderId="24" applyAlignment="1" pivotButton="0" quotePrefix="0" xfId="1">
      <alignment horizontal="center" wrapText="1"/>
    </xf>
    <xf numFmtId="0" fontId="8" fillId="3" borderId="16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vertical="center" wrapText="1"/>
    </xf>
    <xf numFmtId="0" fontId="8" fillId="3" borderId="24" applyAlignment="1" pivotButton="0" quotePrefix="0" xfId="0">
      <alignment horizontal="center" vertical="center" wrapText="1"/>
    </xf>
    <xf numFmtId="0" fontId="8" fillId="3" borderId="25" applyAlignment="1" pivotButton="0" quotePrefix="0" xfId="0">
      <alignment horizontal="center" wrapText="1"/>
    </xf>
    <xf numFmtId="0" fontId="8" fillId="3" borderId="5" applyAlignment="1" pivotButton="0" quotePrefix="0" xfId="0">
      <alignment horizontal="center" wrapText="1"/>
    </xf>
    <xf numFmtId="0" fontId="8" fillId="3" borderId="21" applyAlignment="1" pivotButton="0" quotePrefix="0" xfId="0">
      <alignment horizontal="center" wrapText="1"/>
    </xf>
    <xf numFmtId="0" fontId="8" fillId="0" borderId="14" applyAlignment="1" pivotButton="0" quotePrefix="0" xfId="0">
      <alignment horizontal="center" wrapText="1"/>
    </xf>
    <xf numFmtId="0" fontId="8" fillId="0" borderId="14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wrapText="1"/>
    </xf>
    <xf numFmtId="0" fontId="13" fillId="0" borderId="0" applyAlignment="1" pivotButton="0" quotePrefix="0" xfId="0">
      <alignment horizontal="left"/>
    </xf>
    <xf numFmtId="0" fontId="8" fillId="0" borderId="0" applyAlignment="1" pivotButton="0" quotePrefix="0" xfId="0">
      <alignment vertical="center"/>
    </xf>
    <xf numFmtId="0" fontId="3" fillId="0" borderId="2" applyProtection="1" pivotButton="0" quotePrefix="0" xfId="0">
      <protection locked="0" hidden="0"/>
    </xf>
    <xf numFmtId="0" fontId="3" fillId="0" borderId="1" applyProtection="1" pivotButton="0" quotePrefix="0" xfId="0">
      <protection locked="0" hidden="0"/>
    </xf>
    <xf numFmtId="164" fontId="0" fillId="0" borderId="1" applyProtection="1" pivotButton="0" quotePrefix="0" xfId="0">
      <protection locked="0" hidden="0"/>
    </xf>
    <xf numFmtId="0" fontId="0" fillId="0" borderId="5" pivotButton="0" quotePrefix="0" xfId="0"/>
    <xf numFmtId="14" fontId="0" fillId="0" borderId="17" applyAlignment="1" pivotButton="0" quotePrefix="0" xfId="0">
      <alignment horizontal="center"/>
    </xf>
    <xf numFmtId="0" fontId="0" fillId="5" borderId="0" pivotButton="0" quotePrefix="0" xfId="0"/>
    <xf numFmtId="0" fontId="2" fillId="0" borderId="0" pivotButton="0" quotePrefix="0" xfId="0"/>
    <xf numFmtId="0" fontId="2" fillId="5" borderId="0" pivotButton="0" quotePrefix="0" xfId="0"/>
    <xf numFmtId="0" fontId="22" fillId="7" borderId="28" pivotButton="0" quotePrefix="0" xfId="0"/>
    <xf numFmtId="0" fontId="21" fillId="6" borderId="29" pivotButton="0" quotePrefix="0" xfId="0"/>
    <xf numFmtId="0" fontId="22" fillId="7" borderId="29" pivotButton="0" quotePrefix="0" xfId="0"/>
    <xf numFmtId="0" fontId="22" fillId="0" borderId="29" pivotButton="0" quotePrefix="0" xfId="0"/>
    <xf numFmtId="0" fontId="23" fillId="5" borderId="0" pivotButton="0" quotePrefix="0" xfId="0"/>
    <xf numFmtId="0" fontId="24" fillId="8" borderId="5" pivotButton="0" quotePrefix="0" xfId="2"/>
    <xf numFmtId="0" fontId="25" fillId="8" borderId="0" applyAlignment="1" pivotButton="0" quotePrefix="0" xfId="2">
      <alignment horizontal="center"/>
    </xf>
    <xf numFmtId="0" fontId="25" fillId="8" borderId="5" applyAlignment="1" pivotButton="0" quotePrefix="0" xfId="2">
      <alignment horizontal="center"/>
    </xf>
    <xf numFmtId="0" fontId="2" fillId="0" borderId="5" applyAlignment="1" applyProtection="1" pivotButton="0" quotePrefix="0" xfId="0">
      <alignment horizontal="center"/>
      <protection locked="0" hidden="0"/>
    </xf>
    <xf numFmtId="0" fontId="1" fillId="0" borderId="5" applyAlignment="1" applyProtection="1" pivotButton="0" quotePrefix="0" xfId="2">
      <alignment horizontal="center"/>
      <protection locked="0" hidden="0"/>
    </xf>
    <xf numFmtId="0" fontId="6" fillId="3" borderId="15" applyAlignment="1" pivotButton="0" quotePrefix="0" xfId="0">
      <alignment horizontal="center" wrapText="1"/>
    </xf>
    <xf numFmtId="2" fontId="0" fillId="0" borderId="21" applyAlignment="1" applyProtection="1" pivotButton="0" quotePrefix="0" xfId="0">
      <alignment horizontal="center"/>
      <protection locked="0" hidden="0"/>
    </xf>
    <xf numFmtId="0" fontId="0" fillId="0" borderId="8" applyAlignment="1" pivotButton="0" quotePrefix="0" xfId="0">
      <alignment horizontal="center"/>
    </xf>
    <xf numFmtId="0" fontId="23" fillId="0" borderId="0" pivotButton="0" quotePrefix="0" xfId="0"/>
    <xf numFmtId="0" fontId="24" fillId="9" borderId="5" pivotButton="0" quotePrefix="0" xfId="0"/>
    <xf numFmtId="0" fontId="25" fillId="9" borderId="5" applyAlignment="1" pivotButton="0" quotePrefix="0" xfId="0">
      <alignment horizontal="center"/>
    </xf>
    <xf numFmtId="0" fontId="24" fillId="0" borderId="5" applyAlignment="1" applyProtection="1" pivotButton="0" quotePrefix="0" xfId="2">
      <alignment horizontal="center"/>
      <protection locked="0" hidden="0"/>
    </xf>
    <xf numFmtId="14" fontId="2" fillId="0" borderId="5" applyAlignment="1" applyProtection="1" pivotButton="0" quotePrefix="0" xfId="0">
      <alignment horizontal="center"/>
      <protection locked="0" hidden="0"/>
    </xf>
    <xf numFmtId="164" fontId="2" fillId="0" borderId="5" applyAlignment="1" applyProtection="1" pivotButton="0" quotePrefix="0" xfId="0">
      <alignment horizontal="center"/>
      <protection locked="0" hidden="0"/>
    </xf>
    <xf numFmtId="164" fontId="2" fillId="0" borderId="20" applyAlignment="1" applyProtection="1" pivotButton="0" quotePrefix="0" xfId="0">
      <alignment horizontal="center"/>
      <protection locked="0" hidden="0"/>
    </xf>
    <xf numFmtId="14" fontId="3" fillId="0" borderId="2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0" fontId="26" fillId="0" borderId="5" pivotButton="0" quotePrefix="0" xfId="0"/>
    <xf numFmtId="18" fontId="2" fillId="0" borderId="5" applyAlignment="1" applyProtection="1" pivotButton="0" quotePrefix="0" xfId="0">
      <alignment horizontal="center"/>
      <protection locked="0" hidden="0"/>
    </xf>
    <xf numFmtId="166" fontId="2" fillId="0" borderId="5" applyAlignment="1" applyProtection="1" pivotButton="0" quotePrefix="0" xfId="0">
      <alignment horizontal="center"/>
      <protection locked="0" hidden="0"/>
    </xf>
    <xf numFmtId="14" fontId="2" fillId="0" borderId="6" applyAlignment="1" applyProtection="1" pivotButton="0" quotePrefix="0" xfId="0">
      <alignment horizontal="center"/>
      <protection locked="0" hidden="0"/>
    </xf>
    <xf numFmtId="164" fontId="2" fillId="0" borderId="26" applyAlignment="1" applyProtection="1" pivotButton="0" quotePrefix="0" xfId="0">
      <alignment horizontal="center"/>
      <protection locked="0" hidden="0"/>
    </xf>
    <xf numFmtId="168" fontId="3" fillId="0" borderId="23" pivotButton="0" quotePrefix="0" xfId="0"/>
    <xf numFmtId="168" fontId="3" fillId="4" borderId="13" pivotButton="0" quotePrefix="0" xfId="0"/>
    <xf numFmtId="168" fontId="0" fillId="0" borderId="0" pivotButton="0" quotePrefix="0" xfId="0"/>
    <xf numFmtId="169" fontId="8" fillId="3" borderId="14" applyAlignment="1" pivotButton="0" quotePrefix="0" xfId="1">
      <alignment horizontal="center" wrapText="1"/>
    </xf>
    <xf numFmtId="169" fontId="8" fillId="3" borderId="24" applyAlignment="1" pivotButton="0" quotePrefix="0" xfId="1">
      <alignment horizontal="center" wrapText="1"/>
    </xf>
    <xf numFmtId="166" fontId="0" fillId="0" borderId="18" applyAlignment="1" applyProtection="1" pivotButton="0" quotePrefix="0" xfId="0">
      <alignment horizontal="center"/>
      <protection locked="0" hidden="0"/>
    </xf>
    <xf numFmtId="165" fontId="0" fillId="0" borderId="3" applyAlignment="1" applyProtection="1" pivotButton="0" quotePrefix="0" xfId="1">
      <alignment horizontal="center"/>
      <protection locked="1" hidden="1"/>
    </xf>
    <xf numFmtId="167" fontId="0" fillId="0" borderId="0" pivotButton="0" quotePrefix="0" xfId="0"/>
    <xf numFmtId="166" fontId="0" fillId="0" borderId="5" applyAlignment="1" applyProtection="1" pivotButton="0" quotePrefix="0" xfId="0">
      <alignment horizontal="center"/>
      <protection locked="0" hidden="0"/>
    </xf>
    <xf numFmtId="165" fontId="0" fillId="0" borderId="11" applyAlignment="1" applyProtection="1" pivotButton="0" quotePrefix="0" xfId="1">
      <alignment horizontal="center"/>
      <protection locked="1" hidden="1"/>
    </xf>
    <xf numFmtId="165" fontId="0" fillId="0" borderId="12" applyAlignment="1" applyProtection="1" pivotButton="0" quotePrefix="0" xfId="1">
      <alignment horizontal="center"/>
      <protection locked="1" hidden="1"/>
    </xf>
    <xf numFmtId="166" fontId="2" fillId="0" borderId="5" applyAlignment="1" applyProtection="1" pivotButton="0" quotePrefix="0" xfId="0">
      <alignment horizontal="center"/>
      <protection locked="0" hidden="0"/>
    </xf>
    <xf numFmtId="166" fontId="10" fillId="0" borderId="17" applyAlignment="1" pivotButton="0" quotePrefix="0" xfId="0">
      <alignment horizontal="center"/>
    </xf>
    <xf numFmtId="165" fontId="10" fillId="0" borderId="19" applyAlignment="1" pivotButton="0" quotePrefix="0" xfId="1">
      <alignment horizontal="center"/>
    </xf>
    <xf numFmtId="165" fontId="10" fillId="0" borderId="10" applyAlignment="1" pivotButton="0" quotePrefix="0" xfId="1">
      <alignment horizontal="center"/>
    </xf>
    <xf numFmtId="165" fontId="10" fillId="0" borderId="9" applyAlignment="1" applyProtection="1" pivotButton="0" quotePrefix="0" xfId="1">
      <alignment horizontal="center"/>
      <protection locked="1" hidden="1"/>
    </xf>
    <xf numFmtId="165" fontId="11" fillId="0" borderId="0" pivotButton="0" quotePrefix="0" xfId="1"/>
  </cellXfs>
  <cellStyles count="3">
    <cellStyle name="Normal" xfId="0" builtinId="0"/>
    <cellStyle name="Comma" xfId="1" builtinId="3"/>
    <cellStyle name="Normal 2" xfId="2"/>
  </cellStyles>
  <dxfs count="9">
    <dxf>
      <font>
        <b val="1"/>
        <condense val="0"/>
        <color indexed="10"/>
        <extend val="0"/>
      </font>
    </dxf>
    <dxf>
      <font>
        <condense val="0"/>
        <color auto="1"/>
        <extend val="0"/>
      </font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</dxf>
    <dxf>
      <border outline="0">
        <bottom style="thin">
          <color theme="4" tint="0.3999755851924192"/>
        </bottom>
      </border>
    </dxf>
    <dxf>
      <font>
        <name val="Arial"/>
        <strike val="0"/>
        <outline val="0"/>
        <shadow val="0"/>
        <condense val="0"/>
        <color rgb="FFFF0000"/>
        <extend val="0"/>
        <sz val="10"/>
        <vertAlign val="baseline"/>
      </font>
      <fill>
        <patternFill patternType="solid">
          <fgColor indexed="64"/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3" displayName="Table3" ref="I2:I6" headerRowCount="1" totalsRowShown="0">
  <autoFilter ref="I2:I6"/>
  <tableColumns count="1">
    <tableColumn id="1" name="Prep - Advance Canc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4" displayName="Table4" ref="E1:E6" headerRowCount="1" totalsRowShown="0" headerRowDxfId="8" tableBorderDxfId="7">
  <autoFilter ref="E1:E6"/>
  <tableColumns count="1">
    <tableColumn id="1" name="PT LI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5" displayName="Table5" ref="E8:E13" headerRowCount="1" totalsRowShown="0" headerRowDxfId="6">
  <autoFilter ref="E8:E13"/>
  <tableColumns count="1">
    <tableColumn id="1" name="DT.Breath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4" name="Table6" displayName="Table6" ref="G8:G13" headerRowCount="1" totalsRowShown="0" headerRowDxfId="5">
  <autoFilter ref="G8:G13"/>
  <tableColumns count="1">
    <tableColumn id="1" name="DT.Swab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id="5" name="Table7" displayName="Table7" ref="I8:I13" headerRowCount="1" totalsRowShown="0" headerRowDxfId="4">
  <autoFilter ref="I8:I13"/>
  <tableColumns count="1">
    <tableColumn id="1" name="DT.Urine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6" name="Table8" displayName="Table8" ref="K8:K13" headerRowCount="1" totalsRowShown="0" headerRowDxfId="3">
  <autoFilter ref="K8:K13"/>
  <tableColumns count="1">
    <tableColumn id="1" name="DT.Patch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id="7" name="Table9" displayName="Table9" ref="M8:M13" headerRowCount="1" totalsRowShown="0" headerRowDxfId="2">
  <autoFilter ref="M8:M13"/>
  <tableColumns count="1">
    <tableColumn id="1" name="DT.Swea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CG359"/>
  <sheetViews>
    <sheetView showGridLines="0" tabSelected="1" topLeftCell="B1" zoomScale="125" zoomScaleNormal="125" workbookViewId="0">
      <pane ySplit="8" topLeftCell="A9" activePane="bottomLeft" state="frozen"/>
      <selection pane="bottomLeft" activeCell="K35" sqref="K35"/>
    </sheetView>
  </sheetViews>
  <sheetFormatPr baseColWidth="10" defaultColWidth="8.83203125" defaultRowHeight="13"/>
  <cols>
    <col width="16.6640625" customWidth="1" min="1" max="1"/>
    <col width="20.5" customWidth="1" min="2" max="2"/>
    <col width="21.83203125" customWidth="1" min="3" max="3"/>
    <col width="20.5" customWidth="1" style="1" min="4" max="4"/>
    <col width="10.83203125" customWidth="1" min="5" max="5"/>
    <col width="11" customWidth="1" min="6" max="6"/>
    <col width="9.5" customWidth="1" style="1" min="7" max="8"/>
    <col width="32.5" customWidth="1" style="1" min="9" max="9"/>
    <col width="32.1640625" customWidth="1" style="1" min="10" max="10"/>
    <col width="8.5" customWidth="1" style="1" min="11" max="11"/>
    <col width="9.5" customWidth="1" min="12" max="12"/>
    <col width="8.5" customWidth="1" min="13" max="13"/>
    <col width="7.5" customWidth="1" min="14" max="14"/>
    <col width="7.6640625" customWidth="1" min="15" max="15"/>
    <col width="8.1640625" customWidth="1" min="16" max="16"/>
    <col width="9.33203125" customWidth="1" min="17" max="17"/>
    <col width="9.83203125" customWidth="1" min="18" max="18"/>
    <col width="8.5" customWidth="1" min="19" max="19"/>
    <col width="11" customWidth="1" min="20" max="20"/>
    <col width="9.5" customWidth="1" min="21" max="22"/>
    <col width="8" customWidth="1" min="23" max="23"/>
    <col width="9.6640625" customWidth="1" min="24" max="24"/>
    <col width="8.5" customWidth="1" min="25" max="26"/>
    <col width="7.83203125" customWidth="1" min="27" max="27"/>
    <col width="12.1640625" customWidth="1" min="28" max="28"/>
    <col width="2.1640625" customWidth="1" min="30" max="30"/>
    <col width="2.5" customWidth="1" min="31" max="31"/>
    <col width="3.83203125" customWidth="1" min="32" max="32"/>
    <col width="9.5" bestFit="1" customWidth="1" min="35" max="35"/>
    <col width="10.83203125" customWidth="1" min="36" max="36"/>
  </cols>
  <sheetData>
    <row r="1" ht="16" customHeight="1">
      <c r="A1" s="65" t="inlineStr">
        <is>
          <t>Version- 9.8</t>
        </is>
      </c>
      <c r="B1" s="65" t="n"/>
      <c r="C1" s="65" t="n"/>
      <c r="D1" s="4" t="n"/>
      <c r="E1" s="65" t="n"/>
      <c r="F1" s="65" t="n"/>
      <c r="G1" s="70" t="n"/>
      <c r="H1" s="4" t="n"/>
      <c r="I1" s="4" t="n"/>
      <c r="J1" s="4" t="n"/>
      <c r="K1" s="4" t="n"/>
      <c r="L1" s="65" t="n"/>
      <c r="M1" s="65" t="n"/>
      <c r="N1" s="71" t="n"/>
      <c r="O1" s="71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E1" s="16" t="inlineStr">
        <is>
          <t>*</t>
        </is>
      </c>
      <c r="AF1" s="17" t="n">
        <v>0.25</v>
      </c>
      <c r="AI1" s="72" t="inlineStr">
        <is>
          <t>Hours</t>
        </is>
      </c>
      <c r="AJ1" s="73" t="inlineStr">
        <is>
          <t>Minutes</t>
        </is>
      </c>
      <c r="AK1" s="74" t="inlineStr">
        <is>
          <t>Input hours and minutes to get total minutes.  If you drive 1 hour 22 mins.</t>
        </is>
      </c>
      <c r="AL1" s="74" t="n"/>
      <c r="AM1" s="74" t="n"/>
      <c r="AN1" s="74" t="n"/>
      <c r="AO1" s="74" t="n"/>
      <c r="AP1" s="74" t="n"/>
    </row>
    <row r="2" ht="15" customHeight="1" thickBot="1">
      <c r="A2" s="65" t="n"/>
      <c r="B2" s="65" t="n"/>
      <c r="C2" s="65" t="n"/>
      <c r="D2" s="65" t="n"/>
      <c r="E2" s="65" t="n"/>
      <c r="F2" s="65" t="n"/>
      <c r="G2" s="65" t="n"/>
      <c r="H2" s="65" t="n"/>
      <c r="I2" s="65" t="n"/>
      <c r="J2" s="65" t="n"/>
      <c r="K2" s="65" t="n"/>
      <c r="L2" s="65" t="n"/>
      <c r="M2" s="65" t="n"/>
      <c r="N2" s="65" t="n"/>
      <c r="O2" s="65" t="inlineStr">
        <is>
          <t>Name:</t>
        </is>
      </c>
      <c r="Q2" s="100" t="n"/>
      <c r="R2" s="65" t="n"/>
      <c r="S2" s="3" t="inlineStr">
        <is>
          <t>I certify these hours are true and accurate to the best of my knowledge.</t>
        </is>
      </c>
      <c r="T2" s="65" t="n"/>
      <c r="U2" s="65" t="n"/>
      <c r="V2" s="65" t="n"/>
      <c r="W2" s="65" t="n"/>
      <c r="X2" s="65" t="n"/>
      <c r="Y2" s="65" t="n"/>
      <c r="Z2" s="65" t="n"/>
      <c r="AD2" s="76">
        <f>(1/1440*24)</f>
        <v/>
      </c>
      <c r="AE2" s="16" t="n">
        <v>1</v>
      </c>
      <c r="AF2" s="17" t="n">
        <v>0.25</v>
      </c>
      <c r="AI2" s="135" t="n">
        <v>0.94375</v>
      </c>
      <c r="AJ2" s="136">
        <f>(AI2*1440)/24</f>
        <v/>
      </c>
      <c r="AK2" s="74" t="inlineStr">
        <is>
          <t>Input as 1:22 for total minutes of 82</t>
        </is>
      </c>
      <c r="AL2" s="74" t="n"/>
      <c r="AM2" s="74" t="n"/>
      <c r="AN2" s="74" t="n"/>
      <c r="AO2" s="74" t="n"/>
      <c r="AP2" s="74" t="n"/>
    </row>
    <row r="3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79" t="inlineStr">
        <is>
          <t>V=Vac</t>
        </is>
      </c>
      <c r="N3" s="65" t="n"/>
      <c r="O3" s="71" t="n"/>
      <c r="P3" s="71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C3" s="65" t="n"/>
      <c r="AD3" s="76">
        <f>(2/1440*24)</f>
        <v/>
      </c>
      <c r="AE3" s="16" t="n">
        <v>2</v>
      </c>
      <c r="AF3" s="17" t="n">
        <v>0.25</v>
      </c>
    </row>
    <row r="4" ht="14" customHeight="1" thickBot="1">
      <c r="A4" s="65" t="n"/>
      <c r="B4" s="65" t="n"/>
      <c r="C4" s="65" t="n"/>
      <c r="D4" s="65" t="n"/>
      <c r="E4" s="65" t="n"/>
      <c r="F4" s="65" t="n"/>
      <c r="G4" s="65" t="n"/>
      <c r="H4" s="65" t="n"/>
      <c r="I4" s="65" t="n"/>
      <c r="J4" s="65" t="n"/>
      <c r="K4" s="65" t="n"/>
      <c r="L4" s="65" t="n"/>
      <c r="M4" s="79" t="inlineStr">
        <is>
          <t>S=Sick</t>
        </is>
      </c>
      <c r="N4" s="65" t="n"/>
      <c r="O4" s="65" t="inlineStr">
        <is>
          <t>Supervisor:</t>
        </is>
      </c>
      <c r="P4" s="71" t="n"/>
      <c r="Q4" s="100" t="n"/>
      <c r="R4" s="65" t="n"/>
      <c r="S4" s="3" t="n"/>
      <c r="T4" s="65" t="n"/>
      <c r="U4" s="65" t="n"/>
      <c r="V4" s="65" t="n"/>
      <c r="W4" s="65" t="n"/>
      <c r="X4" s="65" t="n"/>
      <c r="Y4" s="65" t="n"/>
      <c r="Z4" s="65" t="n"/>
      <c r="AA4" s="80" t="n"/>
      <c r="AB4" s="81" t="n"/>
      <c r="AD4" s="76">
        <f>(3/1440*24)</f>
        <v/>
      </c>
      <c r="AE4" s="16" t="n">
        <v>3</v>
      </c>
      <c r="AF4" s="17" t="n">
        <v>0.25</v>
      </c>
    </row>
    <row r="5">
      <c r="A5" s="65" t="n"/>
      <c r="B5" s="65" t="n"/>
      <c r="C5" s="65" t="n"/>
      <c r="D5" s="65" t="n"/>
      <c r="E5" s="65" t="n"/>
      <c r="F5" s="65" t="n"/>
      <c r="G5" s="65" t="n"/>
      <c r="H5" s="65" t="n"/>
      <c r="I5" s="65" t="n"/>
      <c r="J5" s="82" t="n"/>
      <c r="K5" s="65" t="n"/>
      <c r="L5" s="65" t="n"/>
      <c r="M5" s="79" t="inlineStr">
        <is>
          <t>H=Holiday</t>
        </is>
      </c>
      <c r="N5" s="65" t="n"/>
      <c r="O5" s="71" t="n"/>
      <c r="P5" s="71" t="n"/>
      <c r="Q5" s="65" t="n"/>
      <c r="R5" s="65" t="n"/>
      <c r="S5" s="129" t="n"/>
      <c r="T5" s="101" t="n"/>
      <c r="U5" s="101" t="n"/>
      <c r="V5" s="1" t="n"/>
      <c r="W5" s="102" t="n"/>
      <c r="X5" s="101" t="n"/>
      <c r="Y5" s="101" t="n"/>
      <c r="Z5" s="101" t="n"/>
      <c r="AD5" s="76">
        <f>(4/1440*24)</f>
        <v/>
      </c>
      <c r="AE5" s="16" t="n">
        <v>4</v>
      </c>
      <c r="AF5" s="17" t="n">
        <v>0.25</v>
      </c>
    </row>
    <row r="6" ht="14" customHeight="1" thickBot="1">
      <c r="A6" s="65" t="n"/>
      <c r="B6" s="65" t="n"/>
      <c r="C6" s="65" t="n"/>
      <c r="D6" s="65" t="n"/>
      <c r="E6" s="65" t="n"/>
      <c r="F6" s="65" t="n"/>
      <c r="G6" s="65" t="n"/>
      <c r="H6" s="65" t="n"/>
      <c r="I6" s="65" t="n"/>
      <c r="J6" s="65" t="n"/>
      <c r="K6" s="65" t="n"/>
      <c r="L6" s="65" t="n"/>
      <c r="M6" s="65" t="n"/>
      <c r="N6" s="65" t="n"/>
      <c r="O6" s="65" t="inlineStr">
        <is>
          <t>Pay Period:</t>
        </is>
      </c>
      <c r="Q6" s="128" t="n"/>
      <c r="R6" s="65" t="n"/>
      <c r="S6" t="inlineStr">
        <is>
          <t>Employee Signature/Date</t>
        </is>
      </c>
      <c r="T6" s="65" t="n"/>
      <c r="U6" s="65" t="n"/>
      <c r="V6" s="1" t="n"/>
      <c r="W6" s="1" t="n"/>
      <c r="X6" s="65" t="n"/>
      <c r="Y6" s="65" t="n"/>
      <c r="Z6" s="65" t="n"/>
      <c r="AD6" s="76">
        <f>(5/1440*24)</f>
        <v/>
      </c>
      <c r="AE6" s="16" t="n">
        <v>5</v>
      </c>
      <c r="AF6" s="17" t="n">
        <v>0.25</v>
      </c>
      <c r="AI6" s="137" t="n"/>
    </row>
    <row r="7" ht="14" customHeight="1" thickBot="1">
      <c r="A7" s="65" t="n"/>
      <c r="B7" s="65" t="n"/>
      <c r="C7" s="65" t="n"/>
      <c r="D7" s="75" t="n"/>
      <c r="E7" s="65" t="n"/>
      <c r="F7" s="65" t="n"/>
      <c r="G7" s="65" t="n"/>
      <c r="H7" s="65" t="n"/>
      <c r="I7" s="65" t="n"/>
      <c r="J7" s="65" t="n"/>
      <c r="K7" s="65" t="n"/>
      <c r="L7" s="65" t="n"/>
      <c r="M7" s="65" t="n"/>
      <c r="N7" s="71" t="n"/>
      <c r="O7" s="71" t="n"/>
      <c r="P7" s="83" t="n"/>
      <c r="Q7" s="65" t="n"/>
      <c r="R7" s="75" t="n"/>
      <c r="S7" s="65" t="n"/>
      <c r="T7" s="65" t="n"/>
      <c r="U7" s="65" t="n"/>
      <c r="V7" s="65" t="n"/>
      <c r="W7" s="65" t="n"/>
      <c r="X7" s="65" t="n"/>
      <c r="Y7" s="65" t="n"/>
      <c r="Z7" s="65" t="n"/>
      <c r="AA7" s="80" t="n"/>
      <c r="AD7" s="76">
        <f>(6/1440*24)</f>
        <v/>
      </c>
      <c r="AE7" s="16" t="n">
        <v>6</v>
      </c>
      <c r="AF7" s="17" t="n">
        <v>0.25</v>
      </c>
    </row>
    <row r="8" ht="83.25" customHeight="1" thickBot="1">
      <c r="A8" s="84" t="inlineStr">
        <is>
          <t>SERVICE
TYPES</t>
        </is>
      </c>
      <c r="B8" s="92" t="inlineStr">
        <is>
          <t>SERVICE CHOICES
PREP
VIRTUAL</t>
        </is>
      </c>
      <c r="C8" s="92" t="inlineStr">
        <is>
          <t>TRAVEL COMMENTS</t>
        </is>
      </c>
      <c r="D8" s="89" t="inlineStr">
        <is>
          <t>Last Name, First Name Name of Client(s)</t>
        </is>
      </c>
      <c r="E8" s="85" t="inlineStr">
        <is>
          <t>Master Case # (will autofind by column D)</t>
        </is>
      </c>
      <c r="F8" s="85" t="inlineStr">
        <is>
          <t>Date of Service MM/DD/YY</t>
        </is>
      </c>
      <c r="G8" s="138" t="inlineStr">
        <is>
          <t>hrs:mins Time in</t>
        </is>
      </c>
      <c r="H8" s="138" t="inlineStr">
        <is>
          <t>hrs:mins Time out</t>
        </is>
      </c>
      <c r="I8" s="139" t="inlineStr">
        <is>
          <t>Drive From Address</t>
        </is>
      </c>
      <c r="J8" s="139" t="inlineStr">
        <is>
          <t>Drive To Address</t>
        </is>
      </c>
      <c r="K8" s="138" t="inlineStr">
        <is>
          <t>Miles</t>
        </is>
      </c>
      <c r="L8" s="118" t="inlineStr">
        <is>
          <t>Staff Name (First and Last Name Initials)</t>
        </is>
      </c>
      <c r="M8" s="90" t="inlineStr">
        <is>
          <t>Paid Leave (V, S, H)</t>
        </is>
      </c>
      <c r="N8" s="91" t="inlineStr">
        <is>
          <t>Paid Hours</t>
        </is>
      </c>
      <c r="O8" s="91" t="inlineStr">
        <is>
          <t>Meeting in hours</t>
        </is>
      </c>
      <c r="P8" s="91" t="inlineStr">
        <is>
          <t>Training in hours</t>
        </is>
      </c>
      <c r="Q8" s="84" t="inlineStr">
        <is>
          <t>Transport Bill Time (in hrs)</t>
        </is>
      </c>
      <c r="R8" s="92" t="inlineStr">
        <is>
          <t>Drive Non-Bill in hours</t>
        </is>
      </c>
      <c r="S8" s="93" t="inlineStr">
        <is>
          <t>Doc Time in hours</t>
        </is>
      </c>
      <c r="T8" s="94" t="inlineStr">
        <is>
          <t>Mileage Adjustment</t>
        </is>
      </c>
      <c r="U8" s="88" t="inlineStr">
        <is>
          <t>Odometer Start</t>
        </is>
      </c>
      <c r="V8" s="89" t="inlineStr">
        <is>
          <t>Odometer Stop</t>
        </is>
      </c>
      <c r="W8" s="95" t="inlineStr">
        <is>
          <t>Total Mileage</t>
        </is>
      </c>
      <c r="X8" s="96" t="inlineStr">
        <is>
          <t>Billable Hours</t>
        </is>
      </c>
      <c r="Y8" s="96" t="inlineStr">
        <is>
          <t>IndHrs - Drive Non-Bill</t>
        </is>
      </c>
      <c r="Z8" s="96" t="inlineStr">
        <is>
          <t>Indirect Hours</t>
        </is>
      </c>
      <c r="AA8" s="95" t="inlineStr">
        <is>
          <t>Drive Total (in hrs)</t>
        </is>
      </c>
      <c r="AB8" s="97" t="inlineStr">
        <is>
          <t>DAILY TOTAL</t>
        </is>
      </c>
      <c r="AC8" s="95" t="inlineStr">
        <is>
          <t>Mileage Reimb.</t>
        </is>
      </c>
      <c r="AD8" s="76">
        <f>(7/1440*24)</f>
        <v/>
      </c>
      <c r="AE8" s="16" t="n">
        <v>7</v>
      </c>
      <c r="AF8" s="17" t="n">
        <v>0.25</v>
      </c>
      <c r="AP8" s="98" t="n"/>
      <c r="AQ8" s="98" t="n"/>
      <c r="AR8" s="98" t="n"/>
      <c r="AS8" s="98" t="n"/>
      <c r="AT8" s="99" t="n"/>
      <c r="AU8" s="99" t="n"/>
      <c r="AV8" s="99" t="n"/>
      <c r="AW8" s="99" t="n"/>
    </row>
    <row r="9" ht="15" customFormat="1" customHeight="1" s="2">
      <c r="A9" s="13" t="n"/>
      <c r="B9" s="13" t="n"/>
      <c r="C9" s="13" t="n"/>
      <c r="D9" s="124" t="n"/>
      <c r="E9" s="12" t="n">
        <v>466399</v>
      </c>
      <c r="F9" s="140" t="n"/>
      <c r="G9" s="28" t="n"/>
      <c r="H9" s="66" t="n"/>
      <c r="I9" s="134" t="n"/>
      <c r="J9" s="15" t="n"/>
      <c r="K9" s="44" t="n"/>
      <c r="L9" s="116" t="n"/>
      <c r="M9" s="119" t="n"/>
      <c r="N9" s="46" t="n"/>
      <c r="O9" s="46" t="n"/>
      <c r="P9" s="46" t="n"/>
      <c r="Q9" s="53">
        <f>SUM(IF((OR(A9="Travel-PT",A9="Travel-FS-OH",A9="Travel-FS-IH")),(((((H9-G9)*1440)/24)*24)/1440*24),0))</f>
        <v/>
      </c>
      <c r="R9" s="47" t="n"/>
      <c r="S9" s="47" t="n"/>
      <c r="T9" s="29" t="n"/>
      <c r="U9" s="26" t="n"/>
      <c r="V9" s="24" t="n"/>
      <c r="W9" s="141">
        <f>V9-U9</f>
        <v/>
      </c>
      <c r="X9" s="43">
        <f>SUM(IF((OR(G9="",H9="")),0,IF((H9&lt;G9),(((H9-G9)*1440)/24)+24,(H9-G9)*1440)/24)*24)/1440*24</f>
        <v/>
      </c>
      <c r="Y9" s="30">
        <f>R9</f>
        <v/>
      </c>
      <c r="Z9" s="30">
        <f>(N9+O9+P9+S9)</f>
        <v/>
      </c>
      <c r="AA9" s="42">
        <f>Q9+R9</f>
        <v/>
      </c>
      <c r="AB9" s="38">
        <f>N9+O9+P9+S9+X9+Y9</f>
        <v/>
      </c>
      <c r="AC9" s="11">
        <f>(W9-T9)*0.545</f>
        <v/>
      </c>
      <c r="AD9" s="76">
        <f>(8/1440*24)</f>
        <v/>
      </c>
      <c r="AE9" s="16" t="n">
        <v>8</v>
      </c>
      <c r="AF9" s="17" t="n">
        <v>0.25</v>
      </c>
      <c r="AI9" s="142" t="n"/>
      <c r="AJ9" s="32" t="n"/>
      <c r="AP9" s="9" t="n"/>
      <c r="AQ9" s="9" t="n"/>
      <c r="AR9" s="9" t="n"/>
      <c r="AS9" s="9" t="n"/>
      <c r="AT9" s="8" t="n"/>
      <c r="AU9" s="8" t="n"/>
      <c r="AV9" s="8" t="n"/>
      <c r="AW9" s="8" t="n"/>
    </row>
    <row r="10">
      <c r="A10" s="13" t="n"/>
      <c r="B10" s="13" t="n"/>
      <c r="C10" s="13" t="n"/>
      <c r="D10" s="116" t="n"/>
      <c r="E10" s="12" t="n">
        <v>466399</v>
      </c>
      <c r="F10" s="143" t="n"/>
      <c r="G10" s="67" t="n"/>
      <c r="H10" s="68" t="n"/>
      <c r="I10" s="15" t="n"/>
      <c r="J10" s="48" t="n"/>
      <c r="K10" s="45" t="n"/>
      <c r="L10" s="41" t="n"/>
      <c r="M10" s="23" t="n"/>
      <c r="N10" s="46" t="n"/>
      <c r="O10" s="46" t="n"/>
      <c r="P10" s="46" t="n"/>
      <c r="Q10" s="53">
        <f>SUM(IF((OR(A10="Travel-PT",A10="Travel-FS-OH",A10="Travel-FS-IH")),(((((H10-G10)*1440)/24)*24)/1440*24),0))</f>
        <v/>
      </c>
      <c r="R10" s="47" t="n"/>
      <c r="S10" s="47" t="n"/>
      <c r="T10" s="29" t="n"/>
      <c r="U10" s="25" t="n"/>
      <c r="V10" s="24" t="n"/>
      <c r="W10" s="144">
        <f>V10-U10</f>
        <v/>
      </c>
      <c r="X10" s="43">
        <f>SUM(IF((OR(G10="",H10="")),0,IF((H10&lt;G10),(((H10-G10)*1440)/24)+24,(H10-G10)*1440)/24)*24)/1440*24</f>
        <v/>
      </c>
      <c r="Y10" s="30">
        <f>R10</f>
        <v/>
      </c>
      <c r="Z10" s="30">
        <f>(N10+O10+P10+S10)</f>
        <v/>
      </c>
      <c r="AA10" s="42">
        <f>Q10+R10</f>
        <v/>
      </c>
      <c r="AB10" s="38">
        <f>N10+O10+P10+S10+X10+Y10</f>
        <v/>
      </c>
      <c r="AC10" s="11">
        <f>(W10-T10)*0.545</f>
        <v/>
      </c>
      <c r="AD10" s="76">
        <f>(9/1440*24)</f>
        <v/>
      </c>
      <c r="AE10" s="16" t="n">
        <v>9</v>
      </c>
      <c r="AF10" s="17" t="n">
        <v>0.25</v>
      </c>
      <c r="AI10" s="137" t="n"/>
    </row>
    <row r="11">
      <c r="A11" s="13" t="n"/>
      <c r="B11" s="13" t="n"/>
      <c r="C11" s="13" t="n"/>
      <c r="D11" s="12" t="n"/>
      <c r="E11" s="12" t="n">
        <v>466399</v>
      </c>
      <c r="F11" s="143" t="n"/>
      <c r="G11" s="67" t="n"/>
      <c r="H11" s="68" t="n"/>
      <c r="I11" s="15" t="n"/>
      <c r="J11" s="134" t="n"/>
      <c r="K11" s="45" t="n"/>
      <c r="L11" s="12" t="n"/>
      <c r="M11" s="23" t="n"/>
      <c r="N11" s="46" t="n"/>
      <c r="O11" s="46" t="n"/>
      <c r="P11" s="46" t="n"/>
      <c r="Q11" s="53">
        <f>SUM(IF((OR(A11="Travel-PT",A11="Travel-FS-OH",A11="Travel-FS-IH")),(((((H11-G11)*1440)/24)*24)/1440*24),0))</f>
        <v/>
      </c>
      <c r="R11" s="47" t="n"/>
      <c r="S11" s="47" t="n"/>
      <c r="T11" s="29" t="n"/>
      <c r="U11" s="25" t="n"/>
      <c r="V11" s="24" t="n"/>
      <c r="W11" s="145">
        <f>V11-U11</f>
        <v/>
      </c>
      <c r="X11" s="43">
        <f>SUM(IF((OR(G11="",H11="")),0,IF((H11&lt;G11),(((H11-G11)*1440)/24)+24,(H11-G11)*1440)/24)*24)/1440*24</f>
        <v/>
      </c>
      <c r="Y11" s="30">
        <f>R11</f>
        <v/>
      </c>
      <c r="Z11" s="30">
        <f>(N11+O11+P11+S11)</f>
        <v/>
      </c>
      <c r="AA11" s="42">
        <f>Q11+R11</f>
        <v/>
      </c>
      <c r="AB11" s="38">
        <f>N11+O11+P11+S11+X11+Y11</f>
        <v/>
      </c>
      <c r="AC11" s="11">
        <f>(W11-T11)*0.545</f>
        <v/>
      </c>
      <c r="AD11" s="76">
        <f>(10/1440*24)</f>
        <v/>
      </c>
      <c r="AE11" s="16" t="n">
        <v>10</v>
      </c>
      <c r="AF11" s="17" t="n">
        <v>0.25</v>
      </c>
    </row>
    <row r="12">
      <c r="A12" s="13" t="n"/>
      <c r="B12" s="13" t="n"/>
      <c r="C12" s="13" t="n"/>
      <c r="D12" s="12" t="n"/>
      <c r="E12" s="12">
        <f>IFERROR(VLOOKUP(D12,Sheet3!A$1:B$50,2,FALSE),"")</f>
        <v/>
      </c>
      <c r="F12" s="143" t="n"/>
      <c r="G12" s="67" t="n"/>
      <c r="H12" s="68" t="n"/>
      <c r="I12" s="15" t="n"/>
      <c r="J12" s="48" t="n"/>
      <c r="K12" s="45" t="n"/>
      <c r="L12" s="12" t="n"/>
      <c r="M12" s="23" t="n"/>
      <c r="N12" s="46" t="n"/>
      <c r="O12" s="46" t="n"/>
      <c r="P12" s="46" t="n"/>
      <c r="Q12" s="53">
        <f>SUM(IF((OR(A12="Travel-PT",A12="Travel-FS-OH",A12="Travel-FS-IH")),(((((H12-G12)*1440)/24)*24)/1440*24),0))</f>
        <v/>
      </c>
      <c r="R12" s="47" t="n"/>
      <c r="S12" s="47" t="n"/>
      <c r="T12" s="29" t="n"/>
      <c r="U12" s="25" t="n"/>
      <c r="V12" s="24" t="n"/>
      <c r="W12" s="141">
        <f>V12-U12</f>
        <v/>
      </c>
      <c r="X12" s="43">
        <f>SUM(IF((OR(G12="",H12="")),0,IF((H12&lt;G12),(((H12-G12)*1440)/24)+24,(H12-G12)*1440)/24)*24)/1440*24</f>
        <v/>
      </c>
      <c r="Y12" s="30">
        <f>R12</f>
        <v/>
      </c>
      <c r="Z12" s="30">
        <f>(N12+O12+P12+S12)</f>
        <v/>
      </c>
      <c r="AA12" s="42">
        <f>Q12+R12</f>
        <v/>
      </c>
      <c r="AB12" s="38">
        <f>N12+O12+P12+S12+X12+Y12</f>
        <v/>
      </c>
      <c r="AC12" s="11">
        <f>(W12-T12)*0.545</f>
        <v/>
      </c>
      <c r="AD12" s="76">
        <f>(11/1440*24)</f>
        <v/>
      </c>
      <c r="AE12" s="16" t="n">
        <v>11</v>
      </c>
      <c r="AF12" s="17" t="n">
        <v>0.25</v>
      </c>
    </row>
    <row r="13" ht="12.75" customHeight="1">
      <c r="A13" s="13" t="n"/>
      <c r="B13" s="13" t="n"/>
      <c r="C13" s="13" t="n"/>
      <c r="D13" s="116" t="n"/>
      <c r="E13" s="12" t="n">
        <v>190820</v>
      </c>
      <c r="F13" s="143" t="n"/>
      <c r="G13" s="67" t="n"/>
      <c r="H13" s="68" t="n"/>
      <c r="I13" s="134" t="n"/>
      <c r="J13" s="130" t="n"/>
      <c r="K13" s="44" t="n"/>
      <c r="L13" s="116" t="n"/>
      <c r="M13" s="23" t="n"/>
      <c r="N13" s="46" t="n"/>
      <c r="O13" s="46" t="n"/>
      <c r="P13" s="46" t="n"/>
      <c r="Q13" s="53">
        <f>SUM(IF((OR(A13="Travel-PT",A13="Travel-FS-OH",A13="Travel-FS-IH")),(((((H13-G13)*1440)/24)*24)/1440*24),0))</f>
        <v/>
      </c>
      <c r="R13" s="47" t="n"/>
      <c r="S13" s="47" t="n"/>
      <c r="T13" s="29" t="n"/>
      <c r="U13" s="25" t="n"/>
      <c r="V13" s="24" t="n"/>
      <c r="W13" s="144">
        <f>V13-U13</f>
        <v/>
      </c>
      <c r="X13" s="43">
        <f>SUM(IF((OR(G13="",H13="")),0,IF((H13&lt;G13),(((H13-G13)*1440)/24)+24,(H13-G13)*1440)/24)*24)/1440*24</f>
        <v/>
      </c>
      <c r="Y13" s="30">
        <f>R13</f>
        <v/>
      </c>
      <c r="Z13" s="30">
        <f>(N13+O13+P13+S13)</f>
        <v/>
      </c>
      <c r="AA13" s="42">
        <f>Q13+R13</f>
        <v/>
      </c>
      <c r="AB13" s="38">
        <f>N13+O13+P13+S13+X13+Y13</f>
        <v/>
      </c>
      <c r="AC13" s="11">
        <f>(W13-T13)*0.545</f>
        <v/>
      </c>
      <c r="AD13" s="76">
        <f>(12/1440*24)</f>
        <v/>
      </c>
      <c r="AE13" s="16" t="n">
        <v>12</v>
      </c>
      <c r="AF13" s="17" t="n">
        <v>0.25</v>
      </c>
    </row>
    <row r="14" ht="13.5" customHeight="1">
      <c r="A14" s="13" t="n"/>
      <c r="B14" s="13" t="n"/>
      <c r="C14" s="125" t="n"/>
      <c r="D14" s="12" t="n"/>
      <c r="E14" s="12" t="n">
        <v>190820</v>
      </c>
      <c r="F14" s="143" t="n"/>
      <c r="G14" s="67" t="n"/>
      <c r="H14" s="68" t="n"/>
      <c r="I14" s="126" t="n"/>
      <c r="J14" s="127" t="n"/>
      <c r="K14" s="45" t="n"/>
      <c r="L14" s="116" t="n"/>
      <c r="M14" s="23" t="n"/>
      <c r="N14" s="46" t="n"/>
      <c r="O14" s="46" t="n"/>
      <c r="P14" s="46" t="n"/>
      <c r="Q14" s="53">
        <f>SUM(IF((OR(A14="Travel-PT",A14="Travel-FS-OH",A14="Travel-FS-IH")),(((((H14-G14)*1440)/24)*24)/1440*24),0))</f>
        <v/>
      </c>
      <c r="R14" s="47" t="n"/>
      <c r="S14" s="47" t="n"/>
      <c r="T14" s="29" t="n"/>
      <c r="U14" s="25" t="n"/>
      <c r="V14" s="24" t="n"/>
      <c r="W14" s="144">
        <f>V14-U14</f>
        <v/>
      </c>
      <c r="X14" s="43">
        <f>SUM(IF((OR(G14="",H14="")),0,IF((H14&lt;G14),(((H14-G14)*1440)/24)+24,(H14-G14)*1440)/24)*24)/1440*24</f>
        <v/>
      </c>
      <c r="Y14" s="30">
        <f>R14</f>
        <v/>
      </c>
      <c r="Z14" s="30">
        <f>(N14+O14+P14+S14)</f>
        <v/>
      </c>
      <c r="AA14" s="42">
        <f>Q14+R14</f>
        <v/>
      </c>
      <c r="AB14" s="38">
        <f>N14+O14+P14+S14+X14+Y14</f>
        <v/>
      </c>
      <c r="AC14" s="11">
        <f>(W14-T14)*0.545</f>
        <v/>
      </c>
      <c r="AD14" s="76">
        <f>(13/1440*24)</f>
        <v/>
      </c>
      <c r="AE14" s="16" t="n">
        <v>13</v>
      </c>
      <c r="AF14" s="17" t="n">
        <v>0.25</v>
      </c>
    </row>
    <row r="15">
      <c r="A15" s="13" t="n"/>
      <c r="B15" s="13" t="n"/>
      <c r="C15" s="125" t="n"/>
      <c r="D15" s="116" t="n"/>
      <c r="E15" s="12" t="n">
        <v>190820</v>
      </c>
      <c r="F15" s="143" t="n"/>
      <c r="G15" s="67" t="n"/>
      <c r="H15" s="68" t="n"/>
      <c r="I15" s="126" t="n"/>
      <c r="J15" s="126" t="n"/>
      <c r="K15" s="45" t="n"/>
      <c r="L15" s="116" t="n"/>
      <c r="M15" s="23" t="n"/>
      <c r="N15" s="46" t="n"/>
      <c r="O15" s="46" t="n"/>
      <c r="P15" s="46" t="n"/>
      <c r="Q15" s="53">
        <f>SUM(IF((OR(A15="Travel-PT",A15="Travel-FS-OH",A15="Travel-FS-IH")),(((((H15-G15)*1440)/24)*24)/1440*24),0))</f>
        <v/>
      </c>
      <c r="R15" s="47" t="n"/>
      <c r="S15" s="47" t="n"/>
      <c r="T15" s="29" t="n"/>
      <c r="U15" s="25" t="n"/>
      <c r="V15" s="24" t="n"/>
      <c r="W15" s="144">
        <f>V15-U15</f>
        <v/>
      </c>
      <c r="X15" s="43">
        <f>SUM(IF((OR(G15="",H15="")),0,IF((H15&lt;G15),(((H15-G15)*1440)/24)+24,(H15-G15)*1440)/24)*24)/1440*24</f>
        <v/>
      </c>
      <c r="Y15" s="30">
        <f>R15</f>
        <v/>
      </c>
      <c r="Z15" s="30">
        <f>(N15+O15+P15+S15)</f>
        <v/>
      </c>
      <c r="AA15" s="42">
        <f>Q15+R15</f>
        <v/>
      </c>
      <c r="AB15" s="38">
        <f>N15+O15+P15+S15+X15+Y15</f>
        <v/>
      </c>
      <c r="AC15" s="11">
        <f>(W15-T15)*0.545</f>
        <v/>
      </c>
      <c r="AD15" s="76">
        <f>(14/1440*24)</f>
        <v/>
      </c>
      <c r="AE15" s="16" t="n">
        <v>14</v>
      </c>
      <c r="AF15" s="17" t="n">
        <v>0.25</v>
      </c>
    </row>
    <row r="16">
      <c r="A16" s="13" t="n"/>
      <c r="B16" s="13" t="n"/>
      <c r="C16" s="125" t="n"/>
      <c r="D16" s="116" t="n"/>
      <c r="E16" s="12" t="n">
        <v>190820</v>
      </c>
      <c r="F16" s="143" t="n"/>
      <c r="G16" s="67" t="n"/>
      <c r="H16" s="68" t="n"/>
      <c r="I16" s="126" t="n"/>
      <c r="J16" s="134" t="n"/>
      <c r="K16" s="45" t="n"/>
      <c r="L16" s="116" t="n"/>
      <c r="M16" s="23" t="n"/>
      <c r="N16" s="46" t="n"/>
      <c r="O16" s="46" t="n"/>
      <c r="P16" s="46" t="n"/>
      <c r="Q16" s="53">
        <f>SUM(IF((OR(A16="Travel-PT",A16="Travel-FS-OH",A16="Travel-FS-IH")),(((((H16-G16)*1440)/24)*24)/1440*24),0))</f>
        <v/>
      </c>
      <c r="R16" s="47" t="n"/>
      <c r="S16" s="47" t="n"/>
      <c r="T16" s="29" t="n"/>
      <c r="U16" s="25" t="n"/>
      <c r="V16" s="24" t="n"/>
      <c r="W16" s="144">
        <f>V16-U16</f>
        <v/>
      </c>
      <c r="X16" s="43">
        <f>SUM(IF((OR(G16="",H16="")),0,IF((H16&lt;G16),(((H16-G16)*1440)/24)+24,(H16-G16)*1440)/24)*24)/1440*24</f>
        <v/>
      </c>
      <c r="Y16" s="30">
        <f>R16</f>
        <v/>
      </c>
      <c r="Z16" s="30">
        <f>(N16+O16+P16+S16)</f>
        <v/>
      </c>
      <c r="AA16" s="42">
        <f>Q16+R16</f>
        <v/>
      </c>
      <c r="AB16" s="38">
        <f>N16+O16+P16+S16+X16+Y16</f>
        <v/>
      </c>
      <c r="AC16" s="11">
        <f>(W16-T16)*0.545</f>
        <v/>
      </c>
      <c r="AD16" s="76">
        <f>(15/1440*24)</f>
        <v/>
      </c>
      <c r="AE16" s="16" t="n">
        <v>15</v>
      </c>
      <c r="AF16" s="17" t="n">
        <v>0.25</v>
      </c>
    </row>
    <row r="17">
      <c r="A17" s="13" t="n"/>
      <c r="B17" s="13" t="n"/>
      <c r="C17" s="13" t="n"/>
      <c r="D17" s="12" t="n"/>
      <c r="E17" s="12">
        <f>IFERROR(VLOOKUP(D17,Sheet3!A$1:B$50,2,FALSE),"")</f>
        <v/>
      </c>
      <c r="F17" s="143" t="n"/>
      <c r="G17" s="67" t="n"/>
      <c r="H17" s="68" t="n"/>
      <c r="I17" s="15" t="n"/>
      <c r="J17" s="15" t="n"/>
      <c r="K17" s="45" t="n"/>
      <c r="L17" s="12" t="n"/>
      <c r="M17" s="23" t="n"/>
      <c r="N17" s="46" t="n"/>
      <c r="O17" s="46" t="n"/>
      <c r="P17" s="46" t="n"/>
      <c r="Q17" s="53">
        <f>SUM(IF((OR(A17="Travel-PT",A17="Travel-FS-OH",A17="Travel-FS-IH")),(((((H17-G17)*1440)/24)*24)/1440*24),0))</f>
        <v/>
      </c>
      <c r="R17" s="47" t="n"/>
      <c r="S17" s="47" t="n"/>
      <c r="T17" s="29" t="n"/>
      <c r="U17" s="25" t="n"/>
      <c r="V17" s="24" t="n"/>
      <c r="W17" s="145">
        <f>V17-U17</f>
        <v/>
      </c>
      <c r="X17" s="43">
        <f>SUM(IF((OR(G17="",H17="")),0,IF((H17&lt;G17),(((H17-G17)*1440)/24)+24,(H17-G17)*1440)/24)*24)/1440*24</f>
        <v/>
      </c>
      <c r="Y17" s="30">
        <f>R17</f>
        <v/>
      </c>
      <c r="Z17" s="30">
        <f>(N17+O17+P17+S17)</f>
        <v/>
      </c>
      <c r="AA17" s="42">
        <f>Q17+R17</f>
        <v/>
      </c>
      <c r="AB17" s="38">
        <f>N17+O17+P17+S17+X17+Y17</f>
        <v/>
      </c>
      <c r="AC17" s="11">
        <f>(W17-T17)*0.545</f>
        <v/>
      </c>
      <c r="AD17" s="76">
        <f>(16/1440*24)</f>
        <v/>
      </c>
      <c r="AE17" s="16" t="n">
        <v>16</v>
      </c>
      <c r="AF17" s="17" t="n">
        <v>0.5</v>
      </c>
    </row>
    <row r="18">
      <c r="A18" s="13" t="n"/>
      <c r="B18" s="13" t="n"/>
      <c r="C18" s="125" t="n"/>
      <c r="D18" s="116" t="n"/>
      <c r="E18" s="12" t="n">
        <v>466399</v>
      </c>
      <c r="F18" s="143" t="n"/>
      <c r="G18" s="67" t="n"/>
      <c r="H18" s="68" t="n"/>
      <c r="I18" s="134" t="n"/>
      <c r="J18" s="126" t="n"/>
      <c r="K18" s="45" t="n"/>
      <c r="L18" s="116" t="n"/>
      <c r="M18" s="23" t="n"/>
      <c r="N18" s="46" t="n"/>
      <c r="O18" s="46" t="n"/>
      <c r="P18" s="46" t="n"/>
      <c r="Q18" s="53">
        <f>SUM(IF((OR(A18="Travel-PT",A18="Travel-FS-OH",A18="Travel-FS-IH")),(((((H18-G18)*1440)/24)*24)/1440*24),0))</f>
        <v/>
      </c>
      <c r="R18" s="47" t="n"/>
      <c r="S18" s="47" t="n"/>
      <c r="T18" s="29" t="n"/>
      <c r="U18" s="25" t="n"/>
      <c r="V18" s="24" t="n"/>
      <c r="W18" s="141">
        <f>V18-U18</f>
        <v/>
      </c>
      <c r="X18" s="43">
        <f>SUM(IF((OR(G18="",H18="")),0,IF((H18&lt;G18),(((H18-G18)*1440)/24)+24,(H18-G18)*1440)/24)*24)/1440*24</f>
        <v/>
      </c>
      <c r="Y18" s="30">
        <f>R18</f>
        <v/>
      </c>
      <c r="Z18" s="30">
        <f>(N18+O18+P18+S18)</f>
        <v/>
      </c>
      <c r="AA18" s="42">
        <f>Q18+R18</f>
        <v/>
      </c>
      <c r="AB18" s="38">
        <f>N18+O18+P18+S18+X18+Y18</f>
        <v/>
      </c>
      <c r="AC18" s="11">
        <f>(W18-T18)*0.545</f>
        <v/>
      </c>
      <c r="AD18" s="76">
        <f>(17/1440*24)</f>
        <v/>
      </c>
      <c r="AE18" s="16" t="n">
        <v>17</v>
      </c>
      <c r="AF18" s="17" t="n">
        <v>0.5</v>
      </c>
    </row>
    <row r="19">
      <c r="A19" s="13" t="n"/>
      <c r="B19" s="13" t="n"/>
      <c r="C19" s="125" t="n"/>
      <c r="D19" s="116" t="n"/>
      <c r="E19" s="12" t="n">
        <v>466399</v>
      </c>
      <c r="F19" s="143" t="n"/>
      <c r="G19" s="67" t="n"/>
      <c r="H19" s="68" t="n"/>
      <c r="I19" s="15" t="n"/>
      <c r="J19" s="15" t="n"/>
      <c r="K19" s="45" t="n"/>
      <c r="L19" s="12" t="n"/>
      <c r="M19" s="23" t="n"/>
      <c r="N19" s="46" t="n"/>
      <c r="O19" s="46" t="n"/>
      <c r="P19" s="46" t="n"/>
      <c r="Q19" s="53">
        <f>SUM(IF((OR(A19="Travel-PT",A19="Travel-FS-OH",A19="Travel-FS-IH")),(((((H19-G19)*1440)/24)*24)/1440*24),0))</f>
        <v/>
      </c>
      <c r="R19" s="47" t="n"/>
      <c r="S19" s="47" t="n"/>
      <c r="T19" s="29" t="n"/>
      <c r="U19" s="25" t="n"/>
      <c r="V19" s="24" t="n"/>
      <c r="W19" s="144">
        <f>V19-U19</f>
        <v/>
      </c>
      <c r="X19" s="43">
        <f>SUM(IF((OR(G19="",H19="")),0,IF((H19&lt;G19),(((H19-G19)*1440)/24)+24,(H19-G19)*1440)/24)*24)/1440*24</f>
        <v/>
      </c>
      <c r="Y19" s="30">
        <f>R19</f>
        <v/>
      </c>
      <c r="Z19" s="30">
        <f>(N19+O19+P19+S19)</f>
        <v/>
      </c>
      <c r="AA19" s="42">
        <f>Q19+R19</f>
        <v/>
      </c>
      <c r="AB19" s="38">
        <f>N19+O19+P19+S19+X19+Y19</f>
        <v/>
      </c>
      <c r="AC19" s="11">
        <f>(W19-T19)*0.545</f>
        <v/>
      </c>
      <c r="AD19" s="76">
        <f>(18/1440*24)</f>
        <v/>
      </c>
      <c r="AE19" s="16" t="n">
        <v>18</v>
      </c>
      <c r="AF19" s="17" t="n">
        <v>0.5</v>
      </c>
    </row>
    <row r="20">
      <c r="A20" s="13" t="n"/>
      <c r="B20" s="13" t="n"/>
      <c r="C20" s="125" t="n"/>
      <c r="D20" s="116" t="n"/>
      <c r="E20" s="12" t="n">
        <v>466399</v>
      </c>
      <c r="F20" s="143" t="n"/>
      <c r="G20" s="67" t="n"/>
      <c r="H20" s="68" t="n"/>
      <c r="I20" s="126" t="n"/>
      <c r="J20" s="134" t="n"/>
      <c r="K20" s="45" t="n"/>
      <c r="L20" s="116" t="n"/>
      <c r="M20" s="23" t="n"/>
      <c r="N20" s="46" t="n"/>
      <c r="O20" s="46" t="n"/>
      <c r="P20" s="46" t="n"/>
      <c r="Q20" s="53">
        <f>SUM(IF((OR(A20="Travel-PT",A20="Travel-FS-OH",A20="Travel-FS-IH")),(((((H20-G20)*1440)/24)*24)/1440*24),0))</f>
        <v/>
      </c>
      <c r="R20" s="47" t="n"/>
      <c r="S20" s="47" t="n"/>
      <c r="T20" s="29" t="n"/>
      <c r="U20" s="25" t="n"/>
      <c r="V20" s="24" t="n"/>
      <c r="W20" s="144">
        <f>V20-U20</f>
        <v/>
      </c>
      <c r="X20" s="43">
        <f>SUM(IF((OR(G20="",H20="")),0,IF((H20&lt;G20),(((H20-G20)*1440)/24)+24,(H20-G20)*1440)/24)*24)/1440*24</f>
        <v/>
      </c>
      <c r="Y20" s="30">
        <f>R20</f>
        <v/>
      </c>
      <c r="Z20" s="30">
        <f>(N20+O20+P20+S20)</f>
        <v/>
      </c>
      <c r="AA20" s="42">
        <f>Q20+R20</f>
        <v/>
      </c>
      <c r="AB20" s="38">
        <f>N20+O20+P20+S20+X20+Y20</f>
        <v/>
      </c>
      <c r="AC20" s="11">
        <f>(W20-T20)*0.545</f>
        <v/>
      </c>
      <c r="AD20" s="76">
        <f>(19/1440*24)</f>
        <v/>
      </c>
      <c r="AE20" s="16" t="n">
        <v>19</v>
      </c>
      <c r="AF20" s="17" t="n">
        <v>0.5</v>
      </c>
    </row>
    <row r="21">
      <c r="A21" s="13" t="n"/>
      <c r="B21" s="13" t="n"/>
      <c r="C21" s="125" t="n"/>
      <c r="D21" s="116" t="n"/>
      <c r="E21" s="12" t="n">
        <v>466399</v>
      </c>
      <c r="F21" s="143" t="n"/>
      <c r="G21" s="67" t="n"/>
      <c r="H21" s="68" t="n"/>
      <c r="I21" s="134" t="n"/>
      <c r="J21" s="126" t="n"/>
      <c r="K21" s="45" t="n"/>
      <c r="L21" s="116" t="n"/>
      <c r="M21" s="23" t="n"/>
      <c r="N21" s="46" t="n"/>
      <c r="O21" s="46" t="n"/>
      <c r="P21" s="46" t="n"/>
      <c r="Q21" s="53">
        <f>SUM(IF((OR(A21="Travel-PT",A21="Travel-FS-OH",A21="Travel-FS-IH")),(((((H21-G21)*1440)/24)*24)/1440*24),0))</f>
        <v/>
      </c>
      <c r="R21" s="47" t="n"/>
      <c r="S21" s="47" t="n"/>
      <c r="T21" s="29" t="n"/>
      <c r="U21" s="25" t="n"/>
      <c r="V21" s="24" t="n"/>
      <c r="W21" s="145">
        <f>V21-U21</f>
        <v/>
      </c>
      <c r="X21" s="43">
        <f>SUM(IF((OR(G21="",H21="")),0,IF((H21&lt;G21),(((H21-G21)*1440)/24)+24,(H21-G21)*1440)/24)*24)/1440*24</f>
        <v/>
      </c>
      <c r="Y21" s="30">
        <f>R21</f>
        <v/>
      </c>
      <c r="Z21" s="30">
        <f>(N21+O21+P21+S21)</f>
        <v/>
      </c>
      <c r="AA21" s="42">
        <f>Q21+R21</f>
        <v/>
      </c>
      <c r="AB21" s="38">
        <f>N21+O21+P21+S21+X21+Y21</f>
        <v/>
      </c>
      <c r="AC21" s="11">
        <f>(W21-T21)*0.545</f>
        <v/>
      </c>
      <c r="AD21" s="76" t="n"/>
      <c r="AE21" s="16" t="n"/>
      <c r="AF21" s="17" t="n"/>
    </row>
    <row r="22">
      <c r="A22" s="13" t="n"/>
      <c r="B22" s="13" t="n"/>
      <c r="C22" s="125" t="n"/>
      <c r="D22" s="116" t="n"/>
      <c r="E22" s="12" t="n">
        <v>466399</v>
      </c>
      <c r="F22" s="143" t="n"/>
      <c r="G22" s="67" t="n"/>
      <c r="H22" s="68" t="n"/>
      <c r="I22" s="15" t="n"/>
      <c r="J22" s="15" t="n"/>
      <c r="K22" s="45" t="n"/>
      <c r="L22" s="12" t="n"/>
      <c r="M22" s="23" t="n"/>
      <c r="N22" s="46" t="n"/>
      <c r="O22" s="46" t="n"/>
      <c r="P22" s="46" t="n"/>
      <c r="Q22" s="53">
        <f>SUM(IF((OR(A22="Travel-PT",A22="Travel-FS-OH",A22="Travel-FS-IH")),(((((H22-G22)*1440)/24)*24)/1440*24),0))</f>
        <v/>
      </c>
      <c r="R22" s="47" t="n"/>
      <c r="S22" s="47" t="n"/>
      <c r="T22" s="29" t="n"/>
      <c r="U22" s="25" t="n"/>
      <c r="V22" s="24" t="n"/>
      <c r="W22" s="145">
        <f>V22-U22</f>
        <v/>
      </c>
      <c r="X22" s="43">
        <f>SUM(IF((OR(G22="",H22="")),0,IF((H22&lt;G22),(((H22-G22)*1440)/24)+24,(H22-G22)*1440)/24)*24)/1440*24</f>
        <v/>
      </c>
      <c r="Y22" s="30">
        <f>R22</f>
        <v/>
      </c>
      <c r="Z22" s="30">
        <f>(N22+O22+P22+S22)</f>
        <v/>
      </c>
      <c r="AA22" s="42">
        <f>Q22+R22</f>
        <v/>
      </c>
      <c r="AB22" s="38">
        <f>N22+O22+P22+S22+X22+Y22</f>
        <v/>
      </c>
      <c r="AC22" s="11">
        <f>(W22-T22)*0.545</f>
        <v/>
      </c>
      <c r="AD22" s="76" t="n"/>
      <c r="AE22" s="16" t="n"/>
      <c r="AF22" s="17" t="n"/>
    </row>
    <row r="23">
      <c r="A23" s="13" t="n"/>
      <c r="B23" s="13" t="n"/>
      <c r="C23" s="125" t="n"/>
      <c r="D23" s="116" t="n"/>
      <c r="E23" s="12" t="n">
        <v>466399</v>
      </c>
      <c r="F23" s="143" t="n"/>
      <c r="G23" s="67" t="n"/>
      <c r="H23" s="68" t="n"/>
      <c r="I23" s="126" t="n"/>
      <c r="J23" s="134" t="n"/>
      <c r="K23" s="45" t="n"/>
      <c r="L23" s="116" t="n"/>
      <c r="M23" s="23" t="n"/>
      <c r="N23" s="46" t="n"/>
      <c r="O23" s="46" t="n"/>
      <c r="P23" s="46" t="n"/>
      <c r="Q23" s="53">
        <f>SUM(IF((OR(A23="Travel-PT",A23="Travel-FS-OH",A23="Travel-FS-IH")),(((((H23-G23)*1440)/24)*24)/1440*24),0))</f>
        <v/>
      </c>
      <c r="R23" s="47" t="n"/>
      <c r="S23" s="47" t="n"/>
      <c r="T23" s="29" t="n"/>
      <c r="U23" s="25" t="n"/>
      <c r="V23" s="24" t="n"/>
      <c r="W23" s="145">
        <f>V23-U23</f>
        <v/>
      </c>
      <c r="X23" s="43">
        <f>SUM(IF((OR(G23="",H23="")),0,IF((H23&lt;G23),(((H23-G23)*1440)/24)+24,(H23-G23)*1440)/24)*24)/1440*24</f>
        <v/>
      </c>
      <c r="Y23" s="30">
        <f>R23</f>
        <v/>
      </c>
      <c r="Z23" s="30">
        <f>(N23+O23+P23+S23)</f>
        <v/>
      </c>
      <c r="AA23" s="42">
        <f>Q23+R23</f>
        <v/>
      </c>
      <c r="AB23" s="38">
        <f>N23+O23+P23+S23+X23+Y23</f>
        <v/>
      </c>
      <c r="AC23" s="11">
        <f>(W23-T23)*0.545</f>
        <v/>
      </c>
      <c r="AD23" s="76" t="n"/>
      <c r="AE23" s="16" t="n"/>
      <c r="AF23" s="17" t="n"/>
    </row>
    <row r="24">
      <c r="A24" s="13" t="n"/>
      <c r="B24" s="13" t="n"/>
      <c r="C24" s="125" t="n"/>
      <c r="D24" s="116" t="n"/>
      <c r="E24" s="12" t="n">
        <v>466399</v>
      </c>
      <c r="F24" s="143" t="n"/>
      <c r="G24" s="67" t="n"/>
      <c r="H24" s="68" t="n"/>
      <c r="I24" s="134" t="n"/>
      <c r="J24" s="126" t="n"/>
      <c r="K24" s="45" t="n"/>
      <c r="L24" s="116" t="n"/>
      <c r="M24" s="23" t="n"/>
      <c r="N24" s="46" t="n"/>
      <c r="O24" s="46" t="n"/>
      <c r="P24" s="46" t="n"/>
      <c r="Q24" s="53">
        <f>SUM(IF((OR(A24="Travel-PT",A24="Travel-FS-OH",A24="Travel-FS-IH")),(((((H24-G24)*1440)/24)*24)/1440*24),0))</f>
        <v/>
      </c>
      <c r="R24" s="47" t="n"/>
      <c r="S24" s="47" t="n"/>
      <c r="T24" s="29" t="n"/>
      <c r="U24" s="25" t="n"/>
      <c r="V24" s="24" t="n"/>
      <c r="W24" s="145">
        <f>V24-U24</f>
        <v/>
      </c>
      <c r="X24" s="43">
        <f>SUM(IF((OR(G24="",H24="")),0,IF((H24&lt;G24),(((H24-G24)*1440)/24)+24,(H24-G24)*1440)/24)*24)/1440*24</f>
        <v/>
      </c>
      <c r="Y24" s="30">
        <f>R24</f>
        <v/>
      </c>
      <c r="Z24" s="30">
        <f>(N24+O24+P24+S24)</f>
        <v/>
      </c>
      <c r="AA24" s="42">
        <f>Q24+R24</f>
        <v/>
      </c>
      <c r="AB24" s="38">
        <f>N24+O24+P24+S24+X24+Y24</f>
        <v/>
      </c>
      <c r="AC24" s="11">
        <f>(W24-T24)*0.545</f>
        <v/>
      </c>
      <c r="AD24" s="76" t="n"/>
      <c r="AE24" s="16" t="n"/>
      <c r="AF24" s="17" t="n"/>
    </row>
    <row r="25">
      <c r="A25" s="13" t="n"/>
      <c r="B25" s="13" t="n"/>
      <c r="C25" s="125" t="n"/>
      <c r="D25" s="116" t="n"/>
      <c r="E25" s="12" t="n">
        <v>466399</v>
      </c>
      <c r="F25" s="143" t="n"/>
      <c r="G25" s="67" t="n"/>
      <c r="H25" s="68" t="n"/>
      <c r="I25" s="15" t="n"/>
      <c r="J25" s="15" t="n"/>
      <c r="K25" s="45" t="n"/>
      <c r="L25" s="12" t="n"/>
      <c r="M25" s="23" t="n"/>
      <c r="N25" s="46" t="n"/>
      <c r="O25" s="46" t="n"/>
      <c r="P25" s="46" t="n"/>
      <c r="Q25" s="53">
        <f>SUM(IF((OR(A25="Travel-PT",A25="Travel-FS-OH",A25="Travel-FS-IH")),(((((H25-G25)*1440)/24)*24)/1440*24),0))</f>
        <v/>
      </c>
      <c r="R25" s="47" t="n"/>
      <c r="S25" s="47" t="n"/>
      <c r="T25" s="29" t="n"/>
      <c r="U25" s="25" t="n"/>
      <c r="V25" s="24" t="n"/>
      <c r="W25" s="145">
        <f>V25-U25</f>
        <v/>
      </c>
      <c r="X25" s="43">
        <f>SUM(IF((OR(G25="",H25="")),0,IF((H25&lt;G25),(((H25-G25)*1440)/24)+24,(H25-G25)*1440)/24)*24)/1440*24</f>
        <v/>
      </c>
      <c r="Y25" s="30">
        <f>R25</f>
        <v/>
      </c>
      <c r="Z25" s="30">
        <f>(N25+O25+P25+S25)</f>
        <v/>
      </c>
      <c r="AA25" s="42">
        <f>Q25+R25</f>
        <v/>
      </c>
      <c r="AB25" s="38">
        <f>N25+O25+P25+S25+X25+Y25</f>
        <v/>
      </c>
      <c r="AC25" s="11">
        <f>(W25-T25)*0.545</f>
        <v/>
      </c>
      <c r="AD25" s="76" t="n"/>
      <c r="AE25" s="16" t="n"/>
      <c r="AF25" s="17" t="n"/>
    </row>
    <row r="26">
      <c r="A26" s="13" t="n"/>
      <c r="B26" s="13" t="n"/>
      <c r="C26" s="125" t="n"/>
      <c r="D26" s="116" t="n"/>
      <c r="E26" s="12" t="n">
        <v>466399</v>
      </c>
      <c r="F26" s="143" t="n"/>
      <c r="G26" s="67" t="n"/>
      <c r="H26" s="131" t="n"/>
      <c r="I26" s="126" t="n"/>
      <c r="J26" s="134" t="n"/>
      <c r="K26" s="45" t="n"/>
      <c r="L26" s="116" t="n"/>
      <c r="M26" s="23" t="n"/>
      <c r="N26" s="46" t="n"/>
      <c r="O26" s="46" t="n"/>
      <c r="P26" s="46" t="n"/>
      <c r="Q26" s="53">
        <f>SUM(IF((OR(A26="Travel-PT",A26="Travel-FS-OH",A26="Travel-FS-IH")),(((((H26-G26)*1440)/24)*24)/1440*24),0))</f>
        <v/>
      </c>
      <c r="R26" s="47" t="n"/>
      <c r="S26" s="47" t="n"/>
      <c r="T26" s="29" t="n"/>
      <c r="U26" s="25" t="n"/>
      <c r="V26" s="24" t="n"/>
      <c r="W26" s="145">
        <f>V26-U26</f>
        <v/>
      </c>
      <c r="X26" s="43">
        <f>SUM(IF((OR(G26="",H26="")),0,IF((H26&lt;G26),(((H26-G26)*1440)/24)+24,(H26-G26)*1440)/24)*24)/1440*24</f>
        <v/>
      </c>
      <c r="Y26" s="30">
        <f>R26</f>
        <v/>
      </c>
      <c r="Z26" s="30">
        <f>(N26+O26+P26+S26)</f>
        <v/>
      </c>
      <c r="AA26" s="42">
        <f>Q26+R26</f>
        <v/>
      </c>
      <c r="AB26" s="38">
        <f>N26+O26+P26+S26+X26+Y26</f>
        <v/>
      </c>
      <c r="AC26" s="11">
        <f>(W26-T26)*0.545</f>
        <v/>
      </c>
      <c r="AD26" s="76" t="n"/>
      <c r="AE26" s="16" t="n"/>
      <c r="AF26" s="17" t="n"/>
    </row>
    <row r="27">
      <c r="A27" s="13" t="n"/>
      <c r="B27" s="13" t="n"/>
      <c r="C27" s="125" t="n"/>
      <c r="D27" s="116" t="n"/>
      <c r="E27" s="12" t="n">
        <v>466399</v>
      </c>
      <c r="F27" s="146" t="n"/>
      <c r="G27" s="67" t="n"/>
      <c r="H27" s="68" t="n"/>
      <c r="I27" s="134" t="n"/>
      <c r="J27" s="126" t="n"/>
      <c r="K27" s="45" t="n"/>
      <c r="L27" s="116" t="n"/>
      <c r="M27" s="23" t="n"/>
      <c r="N27" s="46" t="n"/>
      <c r="O27" s="46" t="n"/>
      <c r="P27" s="46" t="n"/>
      <c r="Q27" s="53">
        <f>SUM(IF((OR(A27="Travel-PT",A27="Travel-FS-OH",A27="Travel-FS-IH")),(((((H27-G27)*1440)/24)*24)/1440*24),0))</f>
        <v/>
      </c>
      <c r="R27" s="47" t="n"/>
      <c r="S27" s="47" t="n"/>
      <c r="T27" s="29" t="n"/>
      <c r="U27" s="25" t="n"/>
      <c r="V27" s="24" t="n"/>
      <c r="W27" s="145">
        <f>V27-U27</f>
        <v/>
      </c>
      <c r="X27" s="43">
        <f>SUM(IF((OR(G27="",H27="")),0,IF((H27&lt;G27),(((H27-G27)*1440)/24)+24,(H27-G27)*1440)/24)*24)/1440*24</f>
        <v/>
      </c>
      <c r="Y27" s="30">
        <f>R27</f>
        <v/>
      </c>
      <c r="Z27" s="30">
        <f>(N27+O27+P27+S27)</f>
        <v/>
      </c>
      <c r="AA27" s="42">
        <f>Q27+R27</f>
        <v/>
      </c>
      <c r="AB27" s="38">
        <f>N27+O27+P27+S27+X27+Y27</f>
        <v/>
      </c>
      <c r="AC27" s="11">
        <f>(W27-T27)*0.545</f>
        <v/>
      </c>
      <c r="AD27" s="76" t="n"/>
      <c r="AE27" s="16" t="n"/>
      <c r="AF27" s="17" t="n"/>
    </row>
    <row r="28">
      <c r="A28" s="13" t="n"/>
      <c r="B28" s="13" t="n"/>
      <c r="C28" s="125" t="n"/>
      <c r="D28" s="116" t="n"/>
      <c r="E28" s="12" t="n">
        <v>466399</v>
      </c>
      <c r="F28" s="143" t="n"/>
      <c r="G28" s="67" t="n"/>
      <c r="H28" s="68" t="n"/>
      <c r="I28" s="15" t="n"/>
      <c r="J28" s="15" t="n"/>
      <c r="K28" s="45" t="n"/>
      <c r="L28" s="12" t="n"/>
      <c r="M28" s="23" t="n"/>
      <c r="N28" s="46" t="n"/>
      <c r="O28" s="46" t="n"/>
      <c r="P28" s="46" t="n"/>
      <c r="Q28" s="53">
        <f>SUM(IF((OR(A28="Travel-PT",A28="Travel-FS-OH",A28="Travel-FS-IH")),(((((H28-G28)*1440)/24)*24)/1440*24),0))</f>
        <v/>
      </c>
      <c r="R28" s="47" t="n"/>
      <c r="S28" s="47" t="n"/>
      <c r="T28" s="29" t="n"/>
      <c r="U28" s="25" t="n"/>
      <c r="V28" s="24" t="n"/>
      <c r="W28" s="145">
        <f>V28-U28</f>
        <v/>
      </c>
      <c r="X28" s="43">
        <f>SUM(IF((OR(G28="",H28="")),0,IF((H28&lt;G28),(((H28-G28)*1440)/24)+24,(H28-G28)*1440)/24)*24)/1440*24</f>
        <v/>
      </c>
      <c r="Y28" s="30">
        <f>R28</f>
        <v/>
      </c>
      <c r="Z28" s="30">
        <f>(N28+O28+P28+S28)</f>
        <v/>
      </c>
      <c r="AA28" s="42">
        <f>Q28+R28</f>
        <v/>
      </c>
      <c r="AB28" s="38">
        <f>N28+O28+P28+S28+X28+Y28</f>
        <v/>
      </c>
      <c r="AC28" s="11">
        <f>(W28-T28)*0.545</f>
        <v/>
      </c>
      <c r="AD28" s="76" t="n"/>
      <c r="AE28" s="16" t="n"/>
      <c r="AF28" s="17" t="n"/>
    </row>
    <row r="29">
      <c r="A29" s="13" t="n"/>
      <c r="B29" s="13" t="n"/>
      <c r="C29" s="125" t="n"/>
      <c r="D29" s="116" t="n"/>
      <c r="E29" s="12" t="n">
        <v>466399</v>
      </c>
      <c r="F29" s="143" t="n"/>
      <c r="G29" s="67" t="n"/>
      <c r="H29" s="68" t="n"/>
      <c r="I29" s="126" t="n"/>
      <c r="J29" s="134" t="n"/>
      <c r="K29" s="45" t="n"/>
      <c r="L29" s="116" t="n"/>
      <c r="M29" s="23" t="n"/>
      <c r="N29" s="46" t="n"/>
      <c r="O29" s="46" t="n"/>
      <c r="P29" s="46" t="n"/>
      <c r="Q29" s="53">
        <f>SUM(IF((OR(A29="Travel-PT",A29="Travel-FS-OH",A29="Travel-FS-IH")),(((((H29-G29)*1440)/24)*24)/1440*24),0))</f>
        <v/>
      </c>
      <c r="R29" s="47" t="n"/>
      <c r="S29" s="47" t="n"/>
      <c r="T29" s="29" t="n"/>
      <c r="U29" s="25" t="n"/>
      <c r="V29" s="24" t="n"/>
      <c r="W29" s="145">
        <f>V29-U29</f>
        <v/>
      </c>
      <c r="X29" s="43">
        <f>SUM(IF((OR(G29="",H29="")),0,IF((H29&lt;G29),(((H29-G29)*1440)/24)+24,(H29-G29)*1440)/24)*24)/1440*24</f>
        <v/>
      </c>
      <c r="Y29" s="30">
        <f>R29</f>
        <v/>
      </c>
      <c r="Z29" s="30">
        <f>(N29+O29+P29+S29)</f>
        <v/>
      </c>
      <c r="AA29" s="42">
        <f>Q29+R29</f>
        <v/>
      </c>
      <c r="AB29" s="38">
        <f>N29+O29+P29+S29+X29+Y29</f>
        <v/>
      </c>
      <c r="AC29" s="11">
        <f>(W29-T29)*0.545</f>
        <v/>
      </c>
      <c r="AD29" s="76" t="n"/>
      <c r="AE29" s="16" t="n"/>
      <c r="AF29" s="17" t="n"/>
    </row>
    <row r="30">
      <c r="A30" s="13" t="n"/>
      <c r="B30" s="13" t="n"/>
      <c r="C30" s="125" t="n"/>
      <c r="D30" s="116" t="n"/>
      <c r="E30" s="12" t="n">
        <v>466399</v>
      </c>
      <c r="F30" s="143" t="n"/>
      <c r="G30" s="67" t="n"/>
      <c r="H30" s="68" t="n"/>
      <c r="I30" s="134" t="n"/>
      <c r="J30" s="126" t="n"/>
      <c r="K30" s="45" t="n"/>
      <c r="L30" s="116" t="n"/>
      <c r="M30" s="23" t="n"/>
      <c r="N30" s="46" t="n"/>
      <c r="O30" s="46" t="n"/>
      <c r="P30" s="46" t="n"/>
      <c r="Q30" s="53">
        <f>SUM(IF((OR(A30="Travel-PT",A30="Travel-FS-OH",A30="Travel-FS-IH")),(((((H30-G30)*1440)/24)*24)/1440*24),0))</f>
        <v/>
      </c>
      <c r="R30" s="47" t="n"/>
      <c r="S30" s="47" t="n"/>
      <c r="T30" s="29" t="n"/>
      <c r="U30" s="25" t="n"/>
      <c r="V30" s="24" t="n"/>
      <c r="W30" s="145">
        <f>V30-U30</f>
        <v/>
      </c>
      <c r="X30" s="43">
        <f>SUM(IF((OR(G30="",H30="")),0,IF((H30&lt;G30),(((H30-G30)*1440)/24)+24,(H30-G30)*1440)/24)*24)/1440*24</f>
        <v/>
      </c>
      <c r="Y30" s="30">
        <f>R30</f>
        <v/>
      </c>
      <c r="Z30" s="30">
        <f>(N30+O30+P30+S30)</f>
        <v/>
      </c>
      <c r="AA30" s="42">
        <f>Q30+R30</f>
        <v/>
      </c>
      <c r="AB30" s="38">
        <f>N30+O30+P30+S30+X30+Y30</f>
        <v/>
      </c>
      <c r="AC30" s="11">
        <f>(W30-T30)*0.545</f>
        <v/>
      </c>
      <c r="AD30" s="76" t="n"/>
      <c r="AE30" s="16" t="n"/>
      <c r="AF30" s="17" t="n"/>
    </row>
    <row r="31">
      <c r="A31" s="13" t="n"/>
      <c r="B31" s="13" t="n"/>
      <c r="C31" s="125" t="n"/>
      <c r="D31" s="116" t="n"/>
      <c r="E31" s="12" t="n">
        <v>466399</v>
      </c>
      <c r="F31" s="143" t="n"/>
      <c r="G31" s="67" t="n"/>
      <c r="H31" s="68" t="n"/>
      <c r="I31" s="15" t="n"/>
      <c r="J31" s="15" t="n"/>
      <c r="K31" s="45" t="n"/>
      <c r="L31" s="12" t="n"/>
      <c r="M31" s="23" t="n"/>
      <c r="N31" s="46" t="n"/>
      <c r="O31" s="46" t="n"/>
      <c r="P31" s="46" t="n"/>
      <c r="Q31" s="53">
        <f>SUM(IF((OR(A31="Travel-PT",A31="Travel-FS-OH",A31="Travel-FS-IH")),(((((H31-G31)*1440)/24)*24)/1440*24),0))</f>
        <v/>
      </c>
      <c r="R31" s="47" t="n"/>
      <c r="S31" s="47" t="n"/>
      <c r="T31" s="29" t="n"/>
      <c r="U31" s="25" t="n"/>
      <c r="V31" s="24" t="n"/>
      <c r="W31" s="145">
        <f>V31-U31</f>
        <v/>
      </c>
      <c r="X31" s="43">
        <f>SUM(IF((OR(G31="",H31="")),0,IF((H31&lt;G31),(((H31-G31)*1440)/24)+24,(H31-G31)*1440)/24)*24)/1440*24</f>
        <v/>
      </c>
      <c r="Y31" s="30">
        <f>R31</f>
        <v/>
      </c>
      <c r="Z31" s="30">
        <f>(N31+O31+P31+S31)</f>
        <v/>
      </c>
      <c r="AA31" s="42">
        <f>Q31+R31</f>
        <v/>
      </c>
      <c r="AB31" s="38">
        <f>N31+O31+P31+S31+X31+Y31</f>
        <v/>
      </c>
      <c r="AC31" s="11">
        <f>(W31-T31)*0.545</f>
        <v/>
      </c>
      <c r="AD31" s="76" t="n"/>
      <c r="AE31" s="16" t="n"/>
      <c r="AF31" s="17" t="n"/>
    </row>
    <row r="32">
      <c r="A32" s="13" t="n"/>
      <c r="B32" s="13" t="n"/>
      <c r="C32" s="133" t="n"/>
      <c r="D32" s="116" t="n"/>
      <c r="E32" s="12" t="n">
        <v>466399</v>
      </c>
      <c r="F32" s="143" t="n"/>
      <c r="G32" s="67" t="n"/>
      <c r="H32" s="68" t="n"/>
      <c r="I32" s="126" t="n"/>
      <c r="J32" s="134" t="n"/>
      <c r="K32" s="45" t="n"/>
      <c r="L32" s="116" t="n"/>
      <c r="M32" s="23" t="n"/>
      <c r="N32" s="46" t="n"/>
      <c r="O32" s="46" t="n"/>
      <c r="P32" s="46" t="n"/>
      <c r="Q32" s="53">
        <f>SUM(IF((OR(A32="Travel-PT",A32="Travel-FS-OH",A32="Travel-FS-IH")),(((((H32-G32)*1440)/24)*24)/1440*24),0))</f>
        <v/>
      </c>
      <c r="R32" s="47" t="n"/>
      <c r="S32" s="47" t="n"/>
      <c r="T32" s="29" t="n"/>
      <c r="U32" s="25" t="n"/>
      <c r="V32" s="24" t="n"/>
      <c r="W32" s="145">
        <f>V32-U32</f>
        <v/>
      </c>
      <c r="X32" s="43">
        <f>SUM(IF((OR(G32="",H32="")),0,IF((H32&lt;G32),(((H32-G32)*1440)/24)+24,(H32-G32)*1440)/24)*24)/1440*24</f>
        <v/>
      </c>
      <c r="Y32" s="30">
        <f>R32</f>
        <v/>
      </c>
      <c r="Z32" s="30">
        <f>(N32+O32+P32+S32)</f>
        <v/>
      </c>
      <c r="AA32" s="42">
        <f>Q32+R32</f>
        <v/>
      </c>
      <c r="AB32" s="38">
        <f>N32+O32+P32+S32+X32+Y32</f>
        <v/>
      </c>
      <c r="AC32" s="11">
        <f>(W32-T32)*0.545</f>
        <v/>
      </c>
      <c r="AD32" s="76" t="n"/>
      <c r="AE32" s="16" t="n"/>
      <c r="AF32" s="17" t="n"/>
    </row>
    <row r="33">
      <c r="A33" s="13" t="n"/>
      <c r="B33" s="13" t="n"/>
      <c r="C33" s="125" t="n"/>
      <c r="D33" s="116" t="n"/>
      <c r="E33" s="12" t="n">
        <v>466399</v>
      </c>
      <c r="F33" s="143" t="n"/>
      <c r="G33" s="67" t="n"/>
      <c r="H33" s="68" t="n"/>
      <c r="I33" s="134" t="n"/>
      <c r="J33" s="126" t="n"/>
      <c r="K33" s="45" t="n"/>
      <c r="L33" s="116" t="n"/>
      <c r="M33" s="23" t="n"/>
      <c r="N33" s="46" t="n"/>
      <c r="O33" s="46" t="n"/>
      <c r="P33" s="46" t="n"/>
      <c r="Q33" s="53">
        <f>SUM(IF((OR(A33="Travel-PT",A33="Travel-FS-OH",A33="Travel-FS-IH")),(((((H33-G33)*1440)/24)*24)/1440*24),0))</f>
        <v/>
      </c>
      <c r="R33" s="47" t="n"/>
      <c r="S33" s="47" t="n"/>
      <c r="T33" s="29" t="n"/>
      <c r="U33" s="25" t="n"/>
      <c r="V33" s="24" t="n"/>
      <c r="W33" s="145">
        <f>V33-U33</f>
        <v/>
      </c>
      <c r="X33" s="43">
        <f>SUM(IF((OR(G33="",H33="")),0,IF((H33&lt;G33),(((H33-G33)*1440)/24)+24,(H33-G33)*1440)/24)*24)/1440*24</f>
        <v/>
      </c>
      <c r="Y33" s="30">
        <f>R33</f>
        <v/>
      </c>
      <c r="Z33" s="30">
        <f>(N33+O33+P33+S33)</f>
        <v/>
      </c>
      <c r="AA33" s="42">
        <f>Q33+R33</f>
        <v/>
      </c>
      <c r="AB33" s="38">
        <f>N33+O33+P33+S33+X33+Y33</f>
        <v/>
      </c>
      <c r="AC33" s="11">
        <f>(W33-T33)*0.545</f>
        <v/>
      </c>
      <c r="AD33" s="76" t="n"/>
      <c r="AE33" s="16" t="n"/>
      <c r="AF33" s="17" t="n"/>
    </row>
    <row r="34">
      <c r="A34" s="13" t="n"/>
      <c r="B34" s="13" t="n"/>
      <c r="C34" s="125" t="n"/>
      <c r="D34" s="116" t="n"/>
      <c r="E34" s="12" t="n">
        <v>466399</v>
      </c>
      <c r="F34" s="143" t="n"/>
      <c r="G34" s="67" t="n"/>
      <c r="H34" s="68" t="n"/>
      <c r="I34" s="15" t="n"/>
      <c r="J34" s="15" t="n"/>
      <c r="K34" s="45" t="n"/>
      <c r="L34" s="12" t="n"/>
      <c r="M34" s="23" t="n"/>
      <c r="N34" s="46" t="n"/>
      <c r="O34" s="46" t="n"/>
      <c r="P34" s="46" t="n"/>
      <c r="Q34" s="53">
        <f>SUM(IF((OR(A34="Travel-PT",A34="Travel-FS-OH",A34="Travel-FS-IH")),(((((H34-G34)*1440)/24)*24)/1440*24),0))</f>
        <v/>
      </c>
      <c r="R34" s="47" t="n"/>
      <c r="S34" s="47" t="n"/>
      <c r="T34" s="29" t="n"/>
      <c r="U34" s="25" t="n"/>
      <c r="V34" s="24" t="n"/>
      <c r="W34" s="145">
        <f>V34-U34</f>
        <v/>
      </c>
      <c r="X34" s="43">
        <f>SUM(IF((OR(G34="",H34="")),0,IF((H34&lt;G34),(((H34-G34)*1440)/24)+24,(H34-G34)*1440)/24)*24)/1440*24</f>
        <v/>
      </c>
      <c r="Y34" s="30">
        <f>R34</f>
        <v/>
      </c>
      <c r="Z34" s="30">
        <f>(N34+O34+P34+S34)</f>
        <v/>
      </c>
      <c r="AA34" s="42">
        <f>Q34+R34</f>
        <v/>
      </c>
      <c r="AB34" s="38">
        <f>N34+O34+P34+S34+X34+Y34</f>
        <v/>
      </c>
      <c r="AC34" s="11">
        <f>(W34-T34)*0.545</f>
        <v/>
      </c>
      <c r="AD34" s="76" t="n"/>
      <c r="AE34" s="16" t="n"/>
      <c r="AF34" s="17" t="n"/>
    </row>
    <row r="35">
      <c r="A35" s="13" t="n"/>
      <c r="B35" s="13" t="n"/>
      <c r="C35" s="125" t="n"/>
      <c r="D35" s="116" t="n"/>
      <c r="E35" s="12" t="n">
        <v>466399</v>
      </c>
      <c r="F35" s="143" t="n"/>
      <c r="G35" s="67" t="n"/>
      <c r="H35" s="68" t="n"/>
      <c r="I35" s="126" t="n"/>
      <c r="J35" s="134" t="n"/>
      <c r="K35" s="45" t="n"/>
      <c r="L35" s="116" t="n"/>
      <c r="M35" s="23" t="n"/>
      <c r="N35" s="46" t="n"/>
      <c r="O35" s="46" t="n"/>
      <c r="P35" s="46" t="n"/>
      <c r="Q35" s="53">
        <f>SUM(IF((OR(#REF!="Travel-PT",#REF!="Travel-FS-OH",#REF!="Travel-FS-IH")),(((((H35-G35)*1440)/24)*24)/1440*24),0))</f>
        <v/>
      </c>
      <c r="R35" s="47" t="n"/>
      <c r="S35" s="47" t="n"/>
      <c r="T35" s="29" t="n"/>
      <c r="U35" s="25" t="n"/>
      <c r="V35" s="24" t="n"/>
      <c r="W35" s="145">
        <f>V35-U35</f>
        <v/>
      </c>
      <c r="X35" s="43">
        <f>SUM(IF((OR(G35="",H35="")),0,IF((H35&lt;G35),(((H35-G35)*1440)/24)+24,(H35-G35)*1440)/24)*24)/1440*24</f>
        <v/>
      </c>
      <c r="Y35" s="30">
        <f>R35</f>
        <v/>
      </c>
      <c r="Z35" s="30">
        <f>(N35+O35+P35+S35)</f>
        <v/>
      </c>
      <c r="AA35" s="42">
        <f>Q35+R35</f>
        <v/>
      </c>
      <c r="AB35" s="38">
        <f>N35+O35+P35+S35+X35+Y35</f>
        <v/>
      </c>
      <c r="AC35" s="11">
        <f>(W35-T35)*0.545</f>
        <v/>
      </c>
      <c r="AD35" s="76" t="n"/>
      <c r="AE35" s="16" t="n"/>
      <c r="AF35" s="17" t="n"/>
    </row>
    <row r="36">
      <c r="B36" s="13" t="n"/>
      <c r="C36" s="13" t="n"/>
      <c r="D36" s="12" t="n"/>
      <c r="E36" s="12">
        <f>IFERROR(VLOOKUP(D36,Sheet3!A$1:B$50,2,FALSE),"")</f>
        <v/>
      </c>
      <c r="F36" s="143" t="n"/>
      <c r="G36" s="67" t="n"/>
      <c r="H36" s="68" t="n"/>
      <c r="I36" s="15" t="n"/>
      <c r="J36" s="15" t="n"/>
      <c r="K36" s="45" t="n"/>
      <c r="L36" s="12" t="n"/>
      <c r="M36" s="23" t="n"/>
      <c r="N36" s="46" t="n"/>
      <c r="O36" s="46" t="n"/>
      <c r="P36" s="46" t="n"/>
      <c r="Q36" s="53">
        <f>SUM(IF((OR(A35="Travel-PT",A35="Travel-FS-OH",A35="Travel-FS-IH")),(((((H36-G36)*1440)/24)*24)/1440*24),0))</f>
        <v/>
      </c>
      <c r="R36" s="47" t="n"/>
      <c r="S36" s="47" t="n"/>
      <c r="T36" s="29" t="n"/>
      <c r="U36" s="25" t="n"/>
      <c r="V36" s="24" t="n"/>
      <c r="W36" s="145">
        <f>V36-U36</f>
        <v/>
      </c>
      <c r="X36" s="43">
        <f>SUM(IF((OR(G36="",H36="")),0,IF((H36&lt;G36),(((H36-G36)*1440)/24)+24,(H36-G36)*1440)/24)*24)/1440*24</f>
        <v/>
      </c>
      <c r="Y36" s="30">
        <f>R36</f>
        <v/>
      </c>
      <c r="Z36" s="30">
        <f>(N36+O36+P36+S36)</f>
        <v/>
      </c>
      <c r="AA36" s="42">
        <f>Q36+R36</f>
        <v/>
      </c>
      <c r="AB36" s="38">
        <f>N36+O36+P36+S36+X36+Y36</f>
        <v/>
      </c>
      <c r="AC36" s="11">
        <f>(W36-T36)*0.545</f>
        <v/>
      </c>
      <c r="AD36" s="76" t="n"/>
      <c r="AE36" s="16" t="n"/>
      <c r="AF36" s="17" t="n"/>
    </row>
    <row r="37">
      <c r="A37" s="13" t="n"/>
      <c r="B37" s="13" t="n"/>
      <c r="C37" s="13" t="n"/>
      <c r="D37" s="12" t="n"/>
      <c r="E37" s="12">
        <f>IFERROR(VLOOKUP(D37,Sheet3!A$1:B$50,2,FALSE),"")</f>
        <v/>
      </c>
      <c r="F37" s="143" t="n"/>
      <c r="G37" s="67" t="n"/>
      <c r="H37" s="68" t="n"/>
      <c r="I37" s="15" t="n"/>
      <c r="J37" s="15" t="n"/>
      <c r="K37" s="45" t="n"/>
      <c r="L37" s="12" t="n"/>
      <c r="M37" s="23" t="n"/>
      <c r="N37" s="46" t="n"/>
      <c r="O37" s="46" t="n"/>
      <c r="P37" s="46" t="n"/>
      <c r="Q37" s="53">
        <f>SUM(IF((OR(A37="Travel-PT",A37="Travel-FS-OH",A37="Travel-FS-IH")),(((((H37-G37)*1440)/24)*24)/1440*24),0))</f>
        <v/>
      </c>
      <c r="R37" s="47" t="n"/>
      <c r="S37" s="47" t="n"/>
      <c r="T37" s="29" t="n"/>
      <c r="U37" s="25" t="n"/>
      <c r="V37" s="24" t="n"/>
      <c r="W37" s="145">
        <f>V37-U37</f>
        <v/>
      </c>
      <c r="X37" s="43">
        <f>SUM(IF((OR(G37="",H37="")),0,IF((H37&lt;G37),(((H37-G37)*1440)/24)+24,(H37-G37)*1440)/24)*24)/1440*24</f>
        <v/>
      </c>
      <c r="Y37" s="30">
        <f>R37</f>
        <v/>
      </c>
      <c r="Z37" s="30">
        <f>(N37+O37+P37+S37)</f>
        <v/>
      </c>
      <c r="AA37" s="42">
        <f>Q37+R37</f>
        <v/>
      </c>
      <c r="AB37" s="38">
        <f>N37+O37+P37+S37+X37+Y37</f>
        <v/>
      </c>
      <c r="AC37" s="11">
        <f>(W37-T37)*0.545</f>
        <v/>
      </c>
      <c r="AD37" s="76" t="n"/>
      <c r="AE37" s="16" t="n"/>
      <c r="AF37" s="17" t="n"/>
    </row>
    <row r="38">
      <c r="A38" s="13" t="n"/>
      <c r="B38" s="13" t="n"/>
      <c r="C38" s="13" t="n"/>
      <c r="D38" s="12" t="n"/>
      <c r="E38" s="12">
        <f>IFERROR(VLOOKUP(D38,Sheet3!A$1:B$50,2,FALSE),"")</f>
        <v/>
      </c>
      <c r="F38" s="143" t="n"/>
      <c r="G38" s="67" t="n"/>
      <c r="H38" s="68" t="n"/>
      <c r="I38" s="15" t="n"/>
      <c r="J38" s="15" t="n"/>
      <c r="K38" s="45" t="n"/>
      <c r="L38" s="12" t="n"/>
      <c r="M38" s="23" t="n"/>
      <c r="N38" s="46" t="n"/>
      <c r="O38" s="46" t="n"/>
      <c r="P38" s="46" t="n"/>
      <c r="Q38" s="53">
        <f>SUM(IF((OR(A38="Travel-PT",A38="Travel-FS-OH",A38="Travel-FS-IH")),(((((H38-G38)*1440)/24)*24)/1440*24),0))</f>
        <v/>
      </c>
      <c r="R38" s="47" t="n"/>
      <c r="S38" s="47" t="n"/>
      <c r="T38" s="29" t="n"/>
      <c r="U38" s="25" t="n"/>
      <c r="V38" s="24" t="n"/>
      <c r="W38" s="145">
        <f>V38-U38</f>
        <v/>
      </c>
      <c r="X38" s="43">
        <f>SUM(IF((OR(G38="",H38="")),0,IF((H38&lt;G38),(((H38-G38)*1440)/24)+24,(H38-G38)*1440)/24)*24)/1440*24</f>
        <v/>
      </c>
      <c r="Y38" s="30">
        <f>R38</f>
        <v/>
      </c>
      <c r="Z38" s="30">
        <f>(N38+O38+P38+S38)</f>
        <v/>
      </c>
      <c r="AA38" s="42">
        <f>Q38+R38</f>
        <v/>
      </c>
      <c r="AB38" s="38">
        <f>N38+O38+P38+S38+X38+Y38</f>
        <v/>
      </c>
      <c r="AC38" s="11">
        <f>(W38-T38)*0.545</f>
        <v/>
      </c>
      <c r="AD38" s="76" t="n"/>
      <c r="AE38" s="16" t="n"/>
      <c r="AF38" s="17" t="n"/>
    </row>
    <row r="39">
      <c r="A39" s="13" t="n"/>
      <c r="B39" s="13" t="n"/>
      <c r="C39" s="13" t="n"/>
      <c r="D39" s="12" t="n"/>
      <c r="E39" s="12">
        <f>IFERROR(VLOOKUP(D39,Sheet3!A$1:B$50,2,FALSE),"")</f>
        <v/>
      </c>
      <c r="F39" s="143" t="n"/>
      <c r="G39" s="67" t="n"/>
      <c r="H39" s="68" t="n"/>
      <c r="I39" s="15" t="n"/>
      <c r="J39" s="15" t="n"/>
      <c r="K39" s="45" t="n"/>
      <c r="L39" s="12" t="n"/>
      <c r="M39" s="23" t="n"/>
      <c r="N39" s="46" t="n"/>
      <c r="O39" s="46" t="n"/>
      <c r="P39" s="46" t="n"/>
      <c r="Q39" s="53">
        <f>SUM(IF((OR(A39="Travel-PT",A39="Travel-FS-OH",A39="Travel-FS-IH")),(((((H39-G39)*1440)/24)*24)/1440*24),0))</f>
        <v/>
      </c>
      <c r="R39" s="47" t="n"/>
      <c r="S39" s="47" t="n"/>
      <c r="T39" s="29" t="n"/>
      <c r="U39" s="25" t="n"/>
      <c r="V39" s="24" t="n"/>
      <c r="W39" s="145">
        <f>V39-U39</f>
        <v/>
      </c>
      <c r="X39" s="43">
        <f>SUM(IF((OR(G39="",H39="")),0,IF((H39&lt;G39),(((H39-G39)*1440)/24)+24,(H39-G39)*1440)/24)*24)/1440*24</f>
        <v/>
      </c>
      <c r="Y39" s="30">
        <f>R39</f>
        <v/>
      </c>
      <c r="Z39" s="30">
        <f>(N39+O39+P39+S39)</f>
        <v/>
      </c>
      <c r="AA39" s="42">
        <f>Q39+R39</f>
        <v/>
      </c>
      <c r="AB39" s="38">
        <f>N39+O39+P39+S39+X39+Y39</f>
        <v/>
      </c>
      <c r="AC39" s="11">
        <f>(W39-T39)*0.545</f>
        <v/>
      </c>
      <c r="AD39" s="76" t="n"/>
      <c r="AE39" s="16" t="n"/>
      <c r="AF39" s="17" t="n"/>
    </row>
    <row r="40">
      <c r="A40" s="13" t="n"/>
      <c r="B40" s="13" t="n"/>
      <c r="C40" s="13" t="n"/>
      <c r="D40" s="12" t="n"/>
      <c r="E40" s="12">
        <f>IFERROR(VLOOKUP(D40,Sheet3!A$1:B$50,2,FALSE),"")</f>
        <v/>
      </c>
      <c r="F40" s="143" t="n"/>
      <c r="G40" s="67" t="n"/>
      <c r="H40" s="68" t="n"/>
      <c r="I40" s="15" t="n"/>
      <c r="J40" s="15" t="n"/>
      <c r="K40" s="45" t="n"/>
      <c r="L40" s="12" t="n"/>
      <c r="M40" s="23" t="n"/>
      <c r="N40" s="46" t="n"/>
      <c r="O40" s="46" t="n"/>
      <c r="P40" s="46" t="n"/>
      <c r="Q40" s="53">
        <f>SUM(IF((OR(A40="Travel-PT",A40="Travel-FS-OH",A40="Travel-FS-IH")),(((((H40-G40)*1440)/24)*24)/1440*24),0))</f>
        <v/>
      </c>
      <c r="R40" s="47" t="n"/>
      <c r="S40" s="47" t="n"/>
      <c r="T40" s="29" t="n"/>
      <c r="U40" s="25" t="n"/>
      <c r="V40" s="24" t="n"/>
      <c r="W40" s="145">
        <f>V40-U40</f>
        <v/>
      </c>
      <c r="X40" s="43">
        <f>SUM(IF((OR(G40="",H40="")),0,IF((H40&lt;G40),(((H40-G40)*1440)/24)+24,(H40-G40)*1440)/24)*24)/1440*24</f>
        <v/>
      </c>
      <c r="Y40" s="30">
        <f>R40</f>
        <v/>
      </c>
      <c r="Z40" s="30">
        <f>(N40+O40+P40+S40)</f>
        <v/>
      </c>
      <c r="AA40" s="42">
        <f>Q40+R40</f>
        <v/>
      </c>
      <c r="AB40" s="38">
        <f>N40+O40+P40+S40+X40+Y40</f>
        <v/>
      </c>
      <c r="AC40" s="11">
        <f>(W40-T40)*0.545</f>
        <v/>
      </c>
      <c r="AD40" s="76" t="n"/>
      <c r="AE40" s="16" t="n"/>
      <c r="AF40" s="17" t="n"/>
    </row>
    <row r="41">
      <c r="A41" s="13" t="n"/>
      <c r="B41" s="13" t="n"/>
      <c r="C41" s="13" t="n"/>
      <c r="D41" s="12" t="n"/>
      <c r="E41" s="12">
        <f>IFERROR(VLOOKUP(D41,Sheet3!A$1:B$50,2,FALSE),"")</f>
        <v/>
      </c>
      <c r="F41" s="143" t="n"/>
      <c r="G41" s="67" t="n"/>
      <c r="H41" s="68" t="n"/>
      <c r="I41" s="15" t="n"/>
      <c r="J41" s="15" t="n"/>
      <c r="K41" s="45" t="n"/>
      <c r="L41" s="12" t="n"/>
      <c r="M41" s="23" t="n"/>
      <c r="N41" s="46" t="n"/>
      <c r="O41" s="46" t="n"/>
      <c r="P41" s="46" t="n"/>
      <c r="Q41" s="53">
        <f>SUM(IF((OR(A41="Travel-PT",A41="Travel-FS-OH",A41="Travel-FS-IH")),(((((H41-G41)*1440)/24)*24)/1440*24),0))</f>
        <v/>
      </c>
      <c r="R41" s="47" t="n"/>
      <c r="S41" s="47" t="n"/>
      <c r="T41" s="29" t="n"/>
      <c r="U41" s="25" t="n"/>
      <c r="V41" s="24" t="n"/>
      <c r="W41" s="145">
        <f>V41-U41</f>
        <v/>
      </c>
      <c r="X41" s="43">
        <f>SUM(IF((OR(G41="",H41="")),0,IF((H41&lt;G41),(((H41-G41)*1440)/24)+24,(H41-G41)*1440)/24)*24)/1440*24</f>
        <v/>
      </c>
      <c r="Y41" s="30">
        <f>R41</f>
        <v/>
      </c>
      <c r="Z41" s="30">
        <f>(N41+O41+P41+S41)</f>
        <v/>
      </c>
      <c r="AA41" s="42">
        <f>Q41+R41</f>
        <v/>
      </c>
      <c r="AB41" s="38">
        <f>N41+O41+P41+S41+X41+Y41</f>
        <v/>
      </c>
      <c r="AC41" s="11">
        <f>(W41-T41)*0.545</f>
        <v/>
      </c>
      <c r="AD41" s="76" t="n"/>
      <c r="AE41" s="16" t="n"/>
      <c r="AF41" s="17" t="n"/>
    </row>
    <row r="42">
      <c r="A42" s="13" t="n"/>
      <c r="B42" s="13" t="n"/>
      <c r="C42" s="13" t="n"/>
      <c r="D42" s="12" t="n"/>
      <c r="E42" s="12">
        <f>IFERROR(VLOOKUP(D42,Sheet3!A$1:B$50,2,FALSE),"")</f>
        <v/>
      </c>
      <c r="F42" s="143" t="n"/>
      <c r="G42" s="67" t="n"/>
      <c r="H42" s="68" t="n"/>
      <c r="I42" s="15" t="n"/>
      <c r="J42" s="15" t="n"/>
      <c r="K42" s="45" t="n"/>
      <c r="L42" s="12" t="n"/>
      <c r="M42" s="23" t="n"/>
      <c r="N42" s="46" t="n"/>
      <c r="O42" s="46" t="n"/>
      <c r="P42" s="46" t="n"/>
      <c r="Q42" s="53">
        <f>SUM(IF((OR(A42="Travel-PT",A42="Travel-FS-OH",A42="Travel-FS-IH")),(((((H42-G42)*1440)/24)*24)/1440*24),0))</f>
        <v/>
      </c>
      <c r="R42" s="47" t="n"/>
      <c r="S42" s="47" t="n"/>
      <c r="T42" s="29" t="n"/>
      <c r="U42" s="25" t="n"/>
      <c r="V42" s="24" t="n"/>
      <c r="W42" s="145">
        <f>V42-U42</f>
        <v/>
      </c>
      <c r="X42" s="43">
        <f>SUM(IF((OR(G42="",H42="")),0,IF((H42&lt;G42),(((H42-G42)*1440)/24)+24,(H42-G42)*1440)/24)*24)/1440*24</f>
        <v/>
      </c>
      <c r="Y42" s="30">
        <f>R42</f>
        <v/>
      </c>
      <c r="Z42" s="30">
        <f>(N42+O42+P42+S42)</f>
        <v/>
      </c>
      <c r="AA42" s="42">
        <f>Q42+R42</f>
        <v/>
      </c>
      <c r="AB42" s="38">
        <f>N42+O42+P42+S42+X42+Y42</f>
        <v/>
      </c>
      <c r="AC42" s="11">
        <f>(W42-T42)*0.545</f>
        <v/>
      </c>
      <c r="AD42" s="76" t="n"/>
      <c r="AE42" s="16" t="n"/>
      <c r="AF42" s="17" t="n"/>
    </row>
    <row r="43">
      <c r="A43" s="13" t="n"/>
      <c r="B43" s="13" t="n"/>
      <c r="C43" s="13" t="n"/>
      <c r="D43" s="12" t="n"/>
      <c r="E43" s="12">
        <f>IFERROR(VLOOKUP(D43,Sheet3!A$1:B$50,2,FALSE),"")</f>
        <v/>
      </c>
      <c r="F43" s="143" t="n"/>
      <c r="G43" s="67" t="n"/>
      <c r="H43" s="68" t="n"/>
      <c r="I43" s="15" t="n"/>
      <c r="J43" s="15" t="n"/>
      <c r="K43" s="45" t="n"/>
      <c r="L43" s="12" t="n"/>
      <c r="M43" s="23" t="n"/>
      <c r="N43" s="46" t="n"/>
      <c r="O43" s="46" t="n"/>
      <c r="P43" s="46" t="n"/>
      <c r="Q43" s="53">
        <f>SUM(IF((OR(A43="Travel-PT",A43="Travel-FS-OH",A43="Travel-FS-IH")),(((((H43-G43)*1440)/24)*24)/1440*24),0))</f>
        <v/>
      </c>
      <c r="R43" s="47" t="n"/>
      <c r="S43" s="47" t="n"/>
      <c r="T43" s="29" t="n"/>
      <c r="U43" s="25" t="n"/>
      <c r="V43" s="24" t="n"/>
      <c r="W43" s="145">
        <f>V43-U43</f>
        <v/>
      </c>
      <c r="X43" s="43">
        <f>SUM(IF((OR(G43="",H43="")),0,IF((H43&lt;G43),(((H43-G43)*1440)/24)+24,(H43-G43)*1440)/24)*24)/1440*24</f>
        <v/>
      </c>
      <c r="Y43" s="30">
        <f>R43</f>
        <v/>
      </c>
      <c r="Z43" s="30">
        <f>(N43+O43+P43+S43)</f>
        <v/>
      </c>
      <c r="AA43" s="42">
        <f>Q43+R43</f>
        <v/>
      </c>
      <c r="AB43" s="38">
        <f>N43+O43+P43+S43+X43+Y43</f>
        <v/>
      </c>
      <c r="AC43" s="11">
        <f>(W43-T43)*0.545</f>
        <v/>
      </c>
      <c r="AD43" s="76" t="n"/>
      <c r="AE43" s="16" t="n"/>
      <c r="AF43" s="17" t="n"/>
    </row>
    <row r="44">
      <c r="A44" s="13" t="n"/>
      <c r="B44" s="13" t="n"/>
      <c r="C44" s="13" t="n"/>
      <c r="D44" s="12" t="n"/>
      <c r="E44" s="12">
        <f>IFERROR(VLOOKUP(D44,Sheet3!A$1:B$50,2,FALSE),"")</f>
        <v/>
      </c>
      <c r="F44" s="143" t="n"/>
      <c r="G44" s="67" t="n"/>
      <c r="H44" s="68" t="n"/>
      <c r="I44" s="15" t="n"/>
      <c r="J44" s="15" t="n"/>
      <c r="K44" s="45" t="n"/>
      <c r="L44" s="12" t="n"/>
      <c r="M44" s="23" t="n"/>
      <c r="N44" s="46" t="n"/>
      <c r="O44" s="46" t="n"/>
      <c r="P44" s="46" t="n"/>
      <c r="Q44" s="53">
        <f>SUM(IF((OR(A44="Travel-PT",A44="Travel-FS-OH",A44="Travel-FS-IH")),(((((H44-G44)*1440)/24)*24)/1440*24),0))</f>
        <v/>
      </c>
      <c r="R44" s="47" t="n"/>
      <c r="S44" s="47" t="n"/>
      <c r="T44" s="29" t="n"/>
      <c r="U44" s="25" t="n"/>
      <c r="V44" s="24" t="n"/>
      <c r="W44" s="145">
        <f>V44-U44</f>
        <v/>
      </c>
      <c r="X44" s="43">
        <f>SUM(IF((OR(G44="",H44="")),0,IF((H44&lt;G44),(((H44-G44)*1440)/24)+24,(H44-G44)*1440)/24)*24)/1440*24</f>
        <v/>
      </c>
      <c r="Y44" s="30">
        <f>R44</f>
        <v/>
      </c>
      <c r="Z44" s="30">
        <f>(N44+O44+P44+S44)</f>
        <v/>
      </c>
      <c r="AA44" s="42">
        <f>Q44+R44</f>
        <v/>
      </c>
      <c r="AB44" s="38">
        <f>N44+O44+P44+S44+X44+Y44</f>
        <v/>
      </c>
      <c r="AC44" s="11">
        <f>(W44-T44)*0.545</f>
        <v/>
      </c>
      <c r="AD44" s="76" t="n"/>
      <c r="AE44" s="16" t="n"/>
      <c r="AF44" s="17" t="n"/>
    </row>
    <row r="45">
      <c r="A45" s="13" t="n"/>
      <c r="B45" s="13" t="n"/>
      <c r="C45" s="13" t="n"/>
      <c r="D45" s="12" t="n"/>
      <c r="E45" s="12">
        <f>IFERROR(VLOOKUP(D45,Sheet3!A$1:B$50,2,FALSE),"")</f>
        <v/>
      </c>
      <c r="F45" s="143" t="n"/>
      <c r="G45" s="67" t="n"/>
      <c r="H45" s="68" t="n"/>
      <c r="I45" s="15" t="n"/>
      <c r="J45" s="15" t="n"/>
      <c r="K45" s="45" t="n"/>
      <c r="L45" s="12" t="n"/>
      <c r="M45" s="23" t="n"/>
      <c r="N45" s="46" t="n"/>
      <c r="O45" s="46" t="n"/>
      <c r="P45" s="46" t="n"/>
      <c r="Q45" s="53">
        <f>SUM(IF((OR(A45="Travel-PT",A45="Travel-FS-OH",A45="Travel-FS-IH")),(((((H45-G45)*1440)/24)*24)/1440*24),0))</f>
        <v/>
      </c>
      <c r="R45" s="47" t="n"/>
      <c r="S45" s="47" t="n"/>
      <c r="T45" s="29" t="n"/>
      <c r="U45" s="25" t="n"/>
      <c r="V45" s="24" t="n"/>
      <c r="W45" s="145">
        <f>V45-U45</f>
        <v/>
      </c>
      <c r="X45" s="43">
        <f>SUM(IF((OR(G45="",H45="")),0,IF((H45&lt;G45),(((H45-G45)*1440)/24)+24,(H45-G45)*1440)/24)*24)/1440*24</f>
        <v/>
      </c>
      <c r="Y45" s="30">
        <f>R45</f>
        <v/>
      </c>
      <c r="Z45" s="30">
        <f>(N45+O45+P45+S45)</f>
        <v/>
      </c>
      <c r="AA45" s="42">
        <f>Q45+R45</f>
        <v/>
      </c>
      <c r="AB45" s="38">
        <f>N45+O45+P45+S45+X45+Y45</f>
        <v/>
      </c>
      <c r="AC45" s="11">
        <f>(W45-T45)*0.545</f>
        <v/>
      </c>
      <c r="AD45" s="76" t="n"/>
      <c r="AE45" s="16" t="n"/>
      <c r="AF45" s="17" t="n"/>
    </row>
    <row r="46">
      <c r="A46" s="13" t="n"/>
      <c r="B46" s="13" t="n"/>
      <c r="C46" s="13" t="n"/>
      <c r="D46" s="12" t="n"/>
      <c r="E46" s="12">
        <f>IFERROR(VLOOKUP(D46,Sheet3!A$1:B$50,2,FALSE),"")</f>
        <v/>
      </c>
      <c r="F46" s="143" t="n"/>
      <c r="G46" s="67" t="n"/>
      <c r="H46" s="68" t="n"/>
      <c r="I46" s="15" t="n"/>
      <c r="J46" s="15" t="n"/>
      <c r="K46" s="45" t="n"/>
      <c r="L46" s="12" t="n"/>
      <c r="M46" s="23" t="n"/>
      <c r="N46" s="46" t="n"/>
      <c r="O46" s="46" t="n"/>
      <c r="P46" s="46" t="n"/>
      <c r="Q46" s="53">
        <f>SUM(IF((OR(A46="Travel-PT",A46="Travel-FS-OH",A46="Travel-FS-IH")),(((((H46-G46)*1440)/24)*24)/1440*24),0))</f>
        <v/>
      </c>
      <c r="R46" s="47" t="n"/>
      <c r="S46" s="47" t="n"/>
      <c r="T46" s="29" t="n"/>
      <c r="U46" s="25" t="n"/>
      <c r="V46" s="24" t="n"/>
      <c r="W46" s="145">
        <f>V46-U46</f>
        <v/>
      </c>
      <c r="X46" s="43">
        <f>SUM(IF((OR(G46="",H46="")),0,IF((H46&lt;G46),(((H46-G46)*1440)/24)+24,(H46-G46)*1440)/24)*24)/1440*24</f>
        <v/>
      </c>
      <c r="Y46" s="30">
        <f>R46</f>
        <v/>
      </c>
      <c r="Z46" s="30">
        <f>(N46+O46+P46+S46)</f>
        <v/>
      </c>
      <c r="AA46" s="42">
        <f>Q46+R46</f>
        <v/>
      </c>
      <c r="AB46" s="38">
        <f>N46+O46+P46+S46+X46+Y46</f>
        <v/>
      </c>
      <c r="AC46" s="11">
        <f>(W46-T46)*0.545</f>
        <v/>
      </c>
      <c r="AD46" s="76" t="n"/>
      <c r="AE46" s="16" t="n"/>
      <c r="AF46" s="17" t="n"/>
    </row>
    <row r="47">
      <c r="A47" s="13" t="n"/>
      <c r="B47" s="13" t="n"/>
      <c r="C47" s="13" t="n"/>
      <c r="D47" s="12" t="n"/>
      <c r="E47" s="12">
        <f>IFERROR(VLOOKUP(D47,Sheet3!A$1:B$50,2,FALSE),"")</f>
        <v/>
      </c>
      <c r="F47" s="143" t="n"/>
      <c r="G47" s="67" t="n"/>
      <c r="H47" s="68" t="n"/>
      <c r="I47" s="15" t="n"/>
      <c r="J47" s="15" t="n"/>
      <c r="K47" s="45" t="n"/>
      <c r="L47" s="12" t="n"/>
      <c r="M47" s="23" t="n"/>
      <c r="N47" s="46" t="n"/>
      <c r="O47" s="46" t="n"/>
      <c r="P47" s="46" t="n"/>
      <c r="Q47" s="53">
        <f>SUM(IF((OR(A47="Travel-PT",A47="Travel-FS-OH",A47="Travel-FS-IH")),(((((H47-G47)*1440)/24)*24)/1440*24),0))</f>
        <v/>
      </c>
      <c r="R47" s="47" t="n"/>
      <c r="S47" s="47" t="n"/>
      <c r="T47" s="29" t="n"/>
      <c r="U47" s="25" t="n"/>
      <c r="V47" s="24" t="n"/>
      <c r="W47" s="145">
        <f>V47-U47</f>
        <v/>
      </c>
      <c r="X47" s="43">
        <f>SUM(IF((OR(G47="",H47="")),0,IF((H47&lt;G47),(((H47-G47)*1440)/24)+24,(H47-G47)*1440)/24)*24)/1440*24</f>
        <v/>
      </c>
      <c r="Y47" s="30">
        <f>R47</f>
        <v/>
      </c>
      <c r="Z47" s="30">
        <f>(N47+O47+P47+S47)</f>
        <v/>
      </c>
      <c r="AA47" s="42">
        <f>Q47+R47</f>
        <v/>
      </c>
      <c r="AB47" s="38">
        <f>N47+O47+P47+S47+X47+Y47</f>
        <v/>
      </c>
      <c r="AC47" s="11">
        <f>(W47-T47)*0.545</f>
        <v/>
      </c>
      <c r="AD47" s="76" t="n"/>
      <c r="AE47" s="16" t="n"/>
      <c r="AF47" s="17" t="n"/>
    </row>
    <row r="48">
      <c r="A48" s="13" t="n"/>
      <c r="B48" s="13" t="n"/>
      <c r="C48" s="13" t="n"/>
      <c r="D48" s="12" t="n"/>
      <c r="E48" s="12">
        <f>IFERROR(VLOOKUP(D48,Sheet3!A$1:B$50,2,FALSE),"")</f>
        <v/>
      </c>
      <c r="F48" s="143" t="n"/>
      <c r="G48" s="67" t="n"/>
      <c r="H48" s="68" t="n"/>
      <c r="I48" s="15" t="n"/>
      <c r="J48" s="15" t="n"/>
      <c r="K48" s="45" t="n"/>
      <c r="L48" s="12" t="n"/>
      <c r="M48" s="23" t="n"/>
      <c r="N48" s="46" t="n"/>
      <c r="O48" s="46" t="n"/>
      <c r="P48" s="46" t="n"/>
      <c r="Q48" s="53">
        <f>SUM(IF((OR(A48="Travel-PT",A48="Travel-FS-OH",A48="Travel-FS-IH")),(((((H48-G48)*1440)/24)*24)/1440*24),0))</f>
        <v/>
      </c>
      <c r="R48" s="47" t="n"/>
      <c r="S48" s="47" t="n"/>
      <c r="T48" s="29" t="n"/>
      <c r="U48" s="25" t="n"/>
      <c r="V48" s="24" t="n"/>
      <c r="W48" s="145">
        <f>V48-U48</f>
        <v/>
      </c>
      <c r="X48" s="43">
        <f>SUM(IF((OR(G48="",H48="")),0,IF((H48&lt;G48),(((H48-G48)*1440)/24)+24,(H48-G48)*1440)/24)*24)/1440*24</f>
        <v/>
      </c>
      <c r="Y48" s="30">
        <f>R48</f>
        <v/>
      </c>
      <c r="Z48" s="30">
        <f>(N48+O48+P48+S48)</f>
        <v/>
      </c>
      <c r="AA48" s="42">
        <f>Q48+R48</f>
        <v/>
      </c>
      <c r="AB48" s="38">
        <f>N48+O48+P48+S48+X48+Y48</f>
        <v/>
      </c>
      <c r="AC48" s="11">
        <f>(W48-T48)*0.545</f>
        <v/>
      </c>
      <c r="AD48" s="76" t="n"/>
      <c r="AE48" s="16" t="n"/>
      <c r="AF48" s="17" t="n"/>
    </row>
    <row r="49">
      <c r="A49" s="13" t="n"/>
      <c r="B49" s="13" t="n"/>
      <c r="C49" s="13" t="n"/>
      <c r="D49" s="12" t="n"/>
      <c r="E49" s="12">
        <f>IFERROR(VLOOKUP(D49,Sheet3!A$1:B$50,2,FALSE),"")</f>
        <v/>
      </c>
      <c r="F49" s="143" t="n"/>
      <c r="G49" s="67" t="n"/>
      <c r="H49" s="68" t="n"/>
      <c r="I49" s="15" t="n"/>
      <c r="J49" s="15" t="n"/>
      <c r="K49" s="45" t="n"/>
      <c r="L49" s="12" t="n"/>
      <c r="M49" s="23" t="n"/>
      <c r="N49" s="46" t="n"/>
      <c r="O49" s="46" t="n"/>
      <c r="P49" s="46" t="n"/>
      <c r="Q49" s="53">
        <f>SUM(IF((OR(A49="Travel-PT",A49="Travel-FS-OH",A49="Travel-FS-IH")),(((((H49-G49)*1440)/24)*24)/1440*24),0))</f>
        <v/>
      </c>
      <c r="R49" s="47" t="n"/>
      <c r="S49" s="47" t="n"/>
      <c r="T49" s="29" t="n"/>
      <c r="U49" s="25" t="n"/>
      <c r="V49" s="24" t="n"/>
      <c r="W49" s="145">
        <f>V49-U49</f>
        <v/>
      </c>
      <c r="X49" s="43">
        <f>SUM(IF((OR(G49="",H49="")),0,IF((H49&lt;G49),(((H49-G49)*1440)/24)+24,(H49-G49)*1440)/24)*24)/1440*24</f>
        <v/>
      </c>
      <c r="Y49" s="30">
        <f>R49</f>
        <v/>
      </c>
      <c r="Z49" s="30">
        <f>(N49+O49+P49+S49)</f>
        <v/>
      </c>
      <c r="AA49" s="42">
        <f>Q49+R49</f>
        <v/>
      </c>
      <c r="AB49" s="38">
        <f>N49+O49+P49+S49+X49+Y49</f>
        <v/>
      </c>
      <c r="AC49" s="11">
        <f>(W49-T49)*0.545</f>
        <v/>
      </c>
      <c r="AD49" s="76" t="n"/>
      <c r="AE49" s="16" t="n"/>
      <c r="AF49" s="17" t="n"/>
    </row>
    <row r="50">
      <c r="A50" s="13" t="n"/>
      <c r="B50" s="13" t="n"/>
      <c r="C50" s="13" t="n"/>
      <c r="D50" s="12" t="n"/>
      <c r="E50" s="12">
        <f>IFERROR(VLOOKUP(D50,Sheet3!A$1:B$50,2,FALSE),"")</f>
        <v/>
      </c>
      <c r="F50" s="143" t="n"/>
      <c r="G50" s="67" t="n"/>
      <c r="H50" s="68" t="n"/>
      <c r="I50" s="15" t="n"/>
      <c r="J50" s="15" t="n"/>
      <c r="K50" s="45" t="n"/>
      <c r="L50" s="12" t="n"/>
      <c r="M50" s="23" t="n"/>
      <c r="N50" s="46" t="n"/>
      <c r="O50" s="46" t="n"/>
      <c r="P50" s="46" t="n"/>
      <c r="Q50" s="53">
        <f>SUM(IF((OR(A50="Travel-PT",A50="Travel-FS-OH",A50="Travel-FS-IH")),(((((H50-G50)*1440)/24)*24)/1440*24),0))</f>
        <v/>
      </c>
      <c r="R50" s="47" t="n"/>
      <c r="S50" s="47" t="n"/>
      <c r="T50" s="29" t="n"/>
      <c r="U50" s="25" t="n"/>
      <c r="V50" s="24" t="n"/>
      <c r="W50" s="145">
        <f>V50-U50</f>
        <v/>
      </c>
      <c r="X50" s="43">
        <f>SUM(IF((OR(G50="",H50="")),0,IF((H50&lt;G50),(((H50-G50)*1440)/24)+24,(H50-G50)*1440)/24)*24)/1440*24</f>
        <v/>
      </c>
      <c r="Y50" s="30">
        <f>R50</f>
        <v/>
      </c>
      <c r="Z50" s="30">
        <f>(N50+O50+P50+S50)</f>
        <v/>
      </c>
      <c r="AA50" s="42">
        <f>Q50+R50</f>
        <v/>
      </c>
      <c r="AB50" s="38">
        <f>N50+O50+P50+S50+X50+Y50</f>
        <v/>
      </c>
      <c r="AC50" s="11">
        <f>(W50-T50)*0.545</f>
        <v/>
      </c>
      <c r="AD50" s="76" t="n"/>
      <c r="AE50" s="16" t="n"/>
      <c r="AF50" s="17" t="n"/>
    </row>
    <row r="51">
      <c r="A51" s="13" t="n"/>
      <c r="B51" s="13" t="n"/>
      <c r="C51" s="13" t="n"/>
      <c r="D51" s="12" t="n"/>
      <c r="E51" s="12">
        <f>IFERROR(VLOOKUP(D51,Sheet3!A$1:B$50,2,FALSE),"")</f>
        <v/>
      </c>
      <c r="F51" s="143" t="n"/>
      <c r="G51" s="67" t="n"/>
      <c r="H51" s="68" t="n"/>
      <c r="I51" s="15" t="n"/>
      <c r="J51" s="15" t="n"/>
      <c r="K51" s="45" t="n"/>
      <c r="L51" s="12" t="n"/>
      <c r="M51" s="23" t="n"/>
      <c r="N51" s="46" t="n"/>
      <c r="O51" s="46" t="n"/>
      <c r="P51" s="46" t="n"/>
      <c r="Q51" s="53">
        <f>SUM(IF((OR(A51="Travel-PT",A51="Travel-FS-OH",A51="Travel-FS-IH")),(((((H51-G51)*1440)/24)*24)/1440*24),0))</f>
        <v/>
      </c>
      <c r="R51" s="47" t="n"/>
      <c r="S51" s="47" t="n"/>
      <c r="T51" s="29" t="n"/>
      <c r="U51" s="25" t="n"/>
      <c r="V51" s="24" t="n"/>
      <c r="W51" s="145">
        <f>V51-U51</f>
        <v/>
      </c>
      <c r="X51" s="43">
        <f>SUM(IF((OR(G51="",H51="")),0,IF((H51&lt;G51),(((H51-G51)*1440)/24)+24,(H51-G51)*1440)/24)*24)/1440*24</f>
        <v/>
      </c>
      <c r="Y51" s="30">
        <f>R51</f>
        <v/>
      </c>
      <c r="Z51" s="30">
        <f>(N51+O51+P51+S51)</f>
        <v/>
      </c>
      <c r="AA51" s="42">
        <f>Q51+R51</f>
        <v/>
      </c>
      <c r="AB51" s="38">
        <f>N51+O51+P51+S51+X51+Y51</f>
        <v/>
      </c>
      <c r="AC51" s="11">
        <f>(W51-T51)*0.545</f>
        <v/>
      </c>
      <c r="AD51" s="76" t="n"/>
      <c r="AE51" s="16" t="n"/>
      <c r="AF51" s="17" t="n"/>
    </row>
    <row r="52">
      <c r="A52" s="13" t="n"/>
      <c r="B52" s="13" t="n"/>
      <c r="C52" s="13" t="n"/>
      <c r="D52" s="12" t="n"/>
      <c r="E52" s="12">
        <f>IFERROR(VLOOKUP(D52,Sheet3!A$1:B$50,2,FALSE),"")</f>
        <v/>
      </c>
      <c r="F52" s="143" t="n"/>
      <c r="G52" s="67" t="n"/>
      <c r="H52" s="68" t="n"/>
      <c r="I52" s="15" t="n"/>
      <c r="J52" s="15" t="n"/>
      <c r="K52" s="45" t="n"/>
      <c r="L52" s="12" t="n"/>
      <c r="M52" s="23" t="n"/>
      <c r="N52" s="46" t="n"/>
      <c r="O52" s="46" t="n"/>
      <c r="P52" s="46" t="n"/>
      <c r="Q52" s="53">
        <f>SUM(IF((OR(A52="Travel-PT",A52="Travel-FS-OH",A52="Travel-FS-IH")),(((((H52-G52)*1440)/24)*24)/1440*24),0))</f>
        <v/>
      </c>
      <c r="R52" s="47" t="n"/>
      <c r="S52" s="47" t="n"/>
      <c r="T52" s="29" t="n"/>
      <c r="U52" s="25" t="n"/>
      <c r="V52" s="24" t="n"/>
      <c r="W52" s="145">
        <f>V52-U52</f>
        <v/>
      </c>
      <c r="X52" s="43">
        <f>SUM(IF((OR(G52="",H52="")),0,IF((H52&lt;G52),(((H52-G52)*1440)/24)+24,(H52-G52)*1440)/24)*24)/1440*24</f>
        <v/>
      </c>
      <c r="Y52" s="30">
        <f>R52</f>
        <v/>
      </c>
      <c r="Z52" s="30">
        <f>(N52+O52+P52+S52)</f>
        <v/>
      </c>
      <c r="AA52" s="42">
        <f>Q52+R52</f>
        <v/>
      </c>
      <c r="AB52" s="38">
        <f>N52+O52+P52+S52+X52+Y52</f>
        <v/>
      </c>
      <c r="AC52" s="11">
        <f>(W52-T52)*0.545</f>
        <v/>
      </c>
      <c r="AD52" s="76" t="n"/>
      <c r="AE52" s="16" t="n"/>
      <c r="AF52" s="17" t="n"/>
    </row>
    <row r="53">
      <c r="A53" s="13" t="n"/>
      <c r="B53" s="13" t="n"/>
      <c r="C53" s="13" t="n"/>
      <c r="D53" s="12" t="n"/>
      <c r="E53" s="12">
        <f>IFERROR(VLOOKUP(D53,Sheet3!A$1:B$50,2,FALSE),"")</f>
        <v/>
      </c>
      <c r="F53" s="143" t="n"/>
      <c r="G53" s="67" t="n"/>
      <c r="H53" s="68" t="n"/>
      <c r="I53" s="15" t="n"/>
      <c r="J53" s="15" t="n"/>
      <c r="K53" s="45" t="n"/>
      <c r="L53" s="12" t="n"/>
      <c r="M53" s="23" t="n"/>
      <c r="N53" s="46" t="n"/>
      <c r="O53" s="46" t="n"/>
      <c r="P53" s="46" t="n"/>
      <c r="Q53" s="53">
        <f>SUM(IF((OR(A53="Travel-PT",A53="Travel-FS-OH",A53="Travel-FS-IH")),(((((H53-G53)*1440)/24)*24)/1440*24),0))</f>
        <v/>
      </c>
      <c r="R53" s="47" t="n"/>
      <c r="S53" s="47" t="n"/>
      <c r="T53" s="29" t="n"/>
      <c r="U53" s="25" t="n"/>
      <c r="V53" s="24" t="n"/>
      <c r="W53" s="145">
        <f>V53-U53</f>
        <v/>
      </c>
      <c r="X53" s="43">
        <f>SUM(IF((OR(G53="",H53="")),0,IF((H53&lt;G53),(((H53-G53)*1440)/24)+24,(H53-G53)*1440)/24)*24)/1440*24</f>
        <v/>
      </c>
      <c r="Y53" s="30">
        <f>R53</f>
        <v/>
      </c>
      <c r="Z53" s="30">
        <f>(N53+O53+P53+S53)</f>
        <v/>
      </c>
      <c r="AA53" s="42">
        <f>Q53+R53</f>
        <v/>
      </c>
      <c r="AB53" s="38">
        <f>N53+O53+P53+S53+X53+Y53</f>
        <v/>
      </c>
      <c r="AC53" s="11">
        <f>(W53-T53)*0.545</f>
        <v/>
      </c>
      <c r="AD53" s="76">
        <f>(22/1440*24)</f>
        <v/>
      </c>
      <c r="AE53" s="16" t="n">
        <v>22</v>
      </c>
      <c r="AF53" s="17" t="n">
        <v>0.5</v>
      </c>
    </row>
    <row r="54">
      <c r="A54" s="13" t="n"/>
      <c r="B54" s="13" t="n"/>
      <c r="C54" s="13" t="n"/>
      <c r="D54" s="12" t="n"/>
      <c r="E54" s="12">
        <f>IFERROR(VLOOKUP(D54,Sheet3!A$1:B$50,2,FALSE),"")</f>
        <v/>
      </c>
      <c r="F54" s="143" t="n"/>
      <c r="G54" s="67" t="n"/>
      <c r="H54" s="68" t="n"/>
      <c r="I54" s="15" t="n"/>
      <c r="J54" s="15" t="n"/>
      <c r="K54" s="45" t="n"/>
      <c r="L54" s="12" t="n"/>
      <c r="M54" s="23" t="n"/>
      <c r="N54" s="46" t="n"/>
      <c r="O54" s="46" t="n"/>
      <c r="P54" s="46" t="n"/>
      <c r="Q54" s="53">
        <f>SUM(IF((OR(A54="Travel-PT",A54="Travel-FS-OH",A54="Travel-FS-IH")),(((((H54-G54)*1440)/24)*24)/1440*24),0))</f>
        <v/>
      </c>
      <c r="R54" s="47" t="n"/>
      <c r="S54" s="47" t="n"/>
      <c r="T54" s="29" t="n"/>
      <c r="U54" s="25" t="n"/>
      <c r="V54" s="24" t="n"/>
      <c r="W54" s="145">
        <f>V54-U54</f>
        <v/>
      </c>
      <c r="X54" s="43">
        <f>SUM(IF((OR(G54="",H54="")),0,IF((H54&lt;G54),(((H54-G54)*1440)/24)+24,(H54-G54)*1440)/24)*24)/1440*24</f>
        <v/>
      </c>
      <c r="Y54" s="30">
        <f>R54</f>
        <v/>
      </c>
      <c r="Z54" s="30">
        <f>(N54+O54+P54+S54)</f>
        <v/>
      </c>
      <c r="AA54" s="42">
        <f>Q54+R54</f>
        <v/>
      </c>
      <c r="AB54" s="38">
        <f>N54+O54+P54+S54+X54+Y54</f>
        <v/>
      </c>
      <c r="AC54" s="11">
        <f>(W54-T54)*0.545</f>
        <v/>
      </c>
      <c r="AD54" s="76">
        <f>(23/1440*24)</f>
        <v/>
      </c>
      <c r="AE54" s="16" t="n">
        <v>23</v>
      </c>
      <c r="AF54" s="17" t="n">
        <v>0.5</v>
      </c>
    </row>
    <row r="55">
      <c r="A55" s="13" t="n"/>
      <c r="B55" s="13" t="n"/>
      <c r="C55" s="13" t="n"/>
      <c r="D55" s="12" t="n"/>
      <c r="E55" s="12">
        <f>IFERROR(VLOOKUP(D55,Sheet3!A$1:B$50,2,FALSE),"")</f>
        <v/>
      </c>
      <c r="F55" s="143" t="n"/>
      <c r="G55" s="67" t="n"/>
      <c r="H55" s="68" t="n"/>
      <c r="I55" s="15" t="n"/>
      <c r="J55" s="15" t="n"/>
      <c r="K55" s="45" t="n"/>
      <c r="L55" s="12" t="n"/>
      <c r="M55" s="23" t="n"/>
      <c r="N55" s="46" t="n"/>
      <c r="O55" s="46" t="n"/>
      <c r="P55" s="46" t="n"/>
      <c r="Q55" s="53">
        <f>SUM(IF((OR(A55="Travel-PT",A55="Travel-FS-OH",A55="Travel-FS-IH")),(((((H55-G55)*1440)/24)*24)/1440*24),0))</f>
        <v/>
      </c>
      <c r="R55" s="47" t="n"/>
      <c r="S55" s="47" t="n"/>
      <c r="T55" s="29" t="n"/>
      <c r="U55" s="25" t="n"/>
      <c r="V55" s="24" t="n"/>
      <c r="W55" s="145">
        <f>V55-U55</f>
        <v/>
      </c>
      <c r="X55" s="43">
        <f>SUM(IF((OR(G55="",H55="")),0,IF((H55&lt;G55),(((H55-G55)*1440)/24)+24,(H55-G55)*1440)/24)*24)/1440*24</f>
        <v/>
      </c>
      <c r="Y55" s="30">
        <f>R55</f>
        <v/>
      </c>
      <c r="Z55" s="30">
        <f>(N55+O55+P55+S55)</f>
        <v/>
      </c>
      <c r="AA55" s="42">
        <f>Q55+R55</f>
        <v/>
      </c>
      <c r="AB55" s="38">
        <f>N55+O55+P55+S55+X55+Y55</f>
        <v/>
      </c>
      <c r="AC55" s="11">
        <f>(W55-T55)*0.545</f>
        <v/>
      </c>
      <c r="AD55" s="76">
        <f>(24/1440*24)</f>
        <v/>
      </c>
      <c r="AE55" s="16" t="n">
        <v>24</v>
      </c>
      <c r="AF55" s="17" t="n">
        <v>0.5</v>
      </c>
    </row>
    <row r="56">
      <c r="A56" s="13" t="n"/>
      <c r="B56" s="13" t="n"/>
      <c r="C56" s="13" t="n"/>
      <c r="D56" s="12" t="n"/>
      <c r="E56" s="12">
        <f>IFERROR(VLOOKUP(D56,Sheet3!A$1:B$50,2,FALSE),"")</f>
        <v/>
      </c>
      <c r="F56" s="143" t="n"/>
      <c r="G56" s="67" t="n"/>
      <c r="H56" s="68" t="n"/>
      <c r="I56" s="15" t="n"/>
      <c r="J56" s="15" t="n"/>
      <c r="K56" s="45" t="n"/>
      <c r="L56" s="12" t="n"/>
      <c r="M56" s="23" t="n"/>
      <c r="N56" s="46" t="n"/>
      <c r="O56" s="46" t="n"/>
      <c r="P56" s="46" t="n"/>
      <c r="Q56" s="53">
        <f>SUM(IF((OR(A56="Travel-PT",A56="Travel-FS-OH",A56="Travel-FS-IH")),(((((H56-G56)*1440)/24)*24)/1440*24),0))</f>
        <v/>
      </c>
      <c r="R56" s="47" t="n"/>
      <c r="S56" s="47" t="n"/>
      <c r="T56" s="29" t="n"/>
      <c r="U56" s="25" t="n"/>
      <c r="V56" s="24" t="n"/>
      <c r="W56" s="145">
        <f>V56-U56</f>
        <v/>
      </c>
      <c r="X56" s="43">
        <f>SUM(IF((OR(G56="",H56="")),0,IF((H56&lt;G56),(((H56-G56)*1440)/24)+24,(H56-G56)*1440)/24)*24)/1440*24</f>
        <v/>
      </c>
      <c r="Y56" s="30">
        <f>R56</f>
        <v/>
      </c>
      <c r="Z56" s="30">
        <f>(N56+O56+P56+S56)</f>
        <v/>
      </c>
      <c r="AA56" s="42">
        <f>Q56+R56</f>
        <v/>
      </c>
      <c r="AB56" s="38">
        <f>N56+O56+P56+S56+X56+Y56</f>
        <v/>
      </c>
      <c r="AC56" s="11">
        <f>(W56-T56)*0.545</f>
        <v/>
      </c>
      <c r="AD56" s="76">
        <f>(25/1440*24)</f>
        <v/>
      </c>
      <c r="AE56" s="16" t="n">
        <v>25</v>
      </c>
      <c r="AF56" s="17" t="n">
        <v>0.5</v>
      </c>
    </row>
    <row r="57">
      <c r="A57" s="13" t="n"/>
      <c r="B57" s="13" t="n"/>
      <c r="C57" s="13" t="n"/>
      <c r="D57" s="12" t="n"/>
      <c r="E57" s="12">
        <f>IFERROR(VLOOKUP(D57,Sheet3!A$1:B$50,2,FALSE),"")</f>
        <v/>
      </c>
      <c r="F57" s="143" t="n"/>
      <c r="G57" s="67" t="n"/>
      <c r="H57" s="68" t="n"/>
      <c r="I57" s="15" t="n"/>
      <c r="J57" s="15" t="n"/>
      <c r="K57" s="45" t="n"/>
      <c r="L57" s="12" t="n"/>
      <c r="M57" s="23" t="n"/>
      <c r="N57" s="46" t="n"/>
      <c r="O57" s="46" t="n"/>
      <c r="P57" s="46" t="n"/>
      <c r="Q57" s="53">
        <f>SUM(IF((OR(A57="Travel-PT",A57="Travel-FS-OH",A57="Travel-FS-IH")),(((((H57-G57)*1440)/24)*24)/1440*24),0))</f>
        <v/>
      </c>
      <c r="R57" s="47" t="n"/>
      <c r="S57" s="47" t="n"/>
      <c r="T57" s="29" t="n"/>
      <c r="U57" s="25" t="n"/>
      <c r="V57" s="24" t="n"/>
      <c r="W57" s="145">
        <f>V57-U57</f>
        <v/>
      </c>
      <c r="X57" s="43">
        <f>SUM(IF((OR(G57="",H57="")),0,IF((H57&lt;G57),(((H57-G57)*1440)/24)+24,(H57-G57)*1440)/24)*24)/1440*24</f>
        <v/>
      </c>
      <c r="Y57" s="30">
        <f>R57</f>
        <v/>
      </c>
      <c r="Z57" s="30">
        <f>(N57+O57+P57+S57)</f>
        <v/>
      </c>
      <c r="AA57" s="42">
        <f>Q57+R57</f>
        <v/>
      </c>
      <c r="AB57" s="38">
        <f>N57+O57+P57+S57+X57+Y57</f>
        <v/>
      </c>
      <c r="AC57" s="11">
        <f>(W57-T57)*0.545</f>
        <v/>
      </c>
      <c r="AD57" s="76">
        <f>(26/1440*24)</f>
        <v/>
      </c>
      <c r="AE57" s="16" t="n">
        <v>26</v>
      </c>
      <c r="AF57" s="17" t="n">
        <v>0.5</v>
      </c>
    </row>
    <row r="58">
      <c r="A58" s="13" t="n"/>
      <c r="B58" s="13" t="n"/>
      <c r="C58" s="13" t="n"/>
      <c r="D58" s="12" t="n"/>
      <c r="E58" s="12">
        <f>IFERROR(VLOOKUP(D58,Sheet3!A$1:B$50,2,FALSE),"")</f>
        <v/>
      </c>
      <c r="F58" s="143" t="n"/>
      <c r="G58" s="67" t="n"/>
      <c r="H58" s="68" t="n"/>
      <c r="I58" s="15" t="n"/>
      <c r="J58" s="15" t="n"/>
      <c r="K58" s="45" t="n"/>
      <c r="L58" s="12" t="n"/>
      <c r="M58" s="23" t="n"/>
      <c r="N58" s="46" t="n"/>
      <c r="O58" s="46" t="n"/>
      <c r="P58" s="46" t="n"/>
      <c r="Q58" s="53">
        <f>SUM(IF((OR(A58="Travel-PT",A58="Travel-FS-OH",A58="Travel-FS-IH")),(((((H58-G58)*1440)/24)*24)/1440*24),0))</f>
        <v/>
      </c>
      <c r="R58" s="47" t="n"/>
      <c r="S58" s="47" t="n"/>
      <c r="T58" s="29" t="n"/>
      <c r="U58" s="25" t="n"/>
      <c r="V58" s="24" t="n"/>
      <c r="W58" s="145">
        <f>V58-U58</f>
        <v/>
      </c>
      <c r="X58" s="43">
        <f>SUM(IF((OR(G58="",H58="")),0,IF((H58&lt;G58),(((H58-G58)*1440)/24)+24,(H58-G58)*1440)/24)*24)/1440*24</f>
        <v/>
      </c>
      <c r="Y58" s="30">
        <f>R58</f>
        <v/>
      </c>
      <c r="Z58" s="30">
        <f>(N58+O58+P58+S58)</f>
        <v/>
      </c>
      <c r="AA58" s="42">
        <f>Q58+R58</f>
        <v/>
      </c>
      <c r="AB58" s="38">
        <f>N58+O58+P58+S58+X58+Y58</f>
        <v/>
      </c>
      <c r="AC58" s="11">
        <f>(W58-T58)*0.545</f>
        <v/>
      </c>
      <c r="AD58" s="76">
        <f>(27/1440*24)</f>
        <v/>
      </c>
      <c r="AE58" s="16" t="n">
        <v>27</v>
      </c>
      <c r="AF58" s="17" t="n">
        <v>0.5</v>
      </c>
    </row>
    <row r="59">
      <c r="A59" s="13" t="n"/>
      <c r="B59" s="13" t="n"/>
      <c r="C59" s="13" t="n"/>
      <c r="D59" s="12" t="n"/>
      <c r="E59" s="12">
        <f>IFERROR(VLOOKUP(D59,Sheet3!A$1:B$50,2,FALSE),"")</f>
        <v/>
      </c>
      <c r="F59" s="143" t="n"/>
      <c r="G59" s="67" t="n"/>
      <c r="H59" s="68" t="n"/>
      <c r="I59" s="15" t="n"/>
      <c r="J59" s="15" t="n"/>
      <c r="K59" s="45" t="n"/>
      <c r="L59" s="12" t="n"/>
      <c r="M59" s="23" t="n"/>
      <c r="N59" s="46" t="n"/>
      <c r="O59" s="46" t="n"/>
      <c r="P59" s="46" t="n"/>
      <c r="Q59" s="53">
        <f>SUM(IF((OR(A59="Travel-PT",A59="Travel-FS-OH",A59="Travel-FS-IH")),(((((H59-G59)*1440)/24)*24)/1440*24),0))</f>
        <v/>
      </c>
      <c r="R59" s="47" t="n"/>
      <c r="S59" s="47" t="n"/>
      <c r="T59" s="29" t="n"/>
      <c r="U59" s="25" t="n"/>
      <c r="V59" s="24" t="n"/>
      <c r="W59" s="145">
        <f>V59-U59</f>
        <v/>
      </c>
      <c r="X59" s="43">
        <f>SUM(IF((OR(G59="",H59="")),0,IF((H59&lt;G59),(((H59-G59)*1440)/24)+24,(H59-G59)*1440)/24)*24)/1440*24</f>
        <v/>
      </c>
      <c r="Y59" s="30">
        <f>R59</f>
        <v/>
      </c>
      <c r="Z59" s="30">
        <f>(N59+O59+P59+S59)</f>
        <v/>
      </c>
      <c r="AA59" s="42">
        <f>Q59+R59</f>
        <v/>
      </c>
      <c r="AB59" s="38">
        <f>N59+O59+P59+S59+X59+Y59</f>
        <v/>
      </c>
      <c r="AC59" s="11">
        <f>(W59-T59)*0.545</f>
        <v/>
      </c>
      <c r="AD59" s="76" t="n"/>
      <c r="AE59" s="16" t="n"/>
      <c r="AF59" s="17" t="n"/>
    </row>
    <row r="60">
      <c r="A60" s="13" t="n"/>
      <c r="B60" s="13" t="n"/>
      <c r="C60" s="13" t="n"/>
      <c r="D60" s="12" t="n"/>
      <c r="E60" s="12">
        <f>IFERROR(VLOOKUP(D60,Sheet3!A$1:B$50,2,FALSE),"")</f>
        <v/>
      </c>
      <c r="F60" s="143" t="n"/>
      <c r="G60" s="67" t="n"/>
      <c r="H60" s="68" t="n"/>
      <c r="I60" s="15" t="n"/>
      <c r="J60" s="15" t="n"/>
      <c r="K60" s="45" t="n"/>
      <c r="L60" s="12" t="n"/>
      <c r="M60" s="23" t="n"/>
      <c r="N60" s="46" t="n"/>
      <c r="O60" s="46" t="n"/>
      <c r="P60" s="46" t="n"/>
      <c r="Q60" s="53">
        <f>SUM(IF((OR(A60="Travel-PT",A60="Travel-FS-OH",A60="Travel-FS-IH")),(((((H60-G60)*1440)/24)*24)/1440*24),0))</f>
        <v/>
      </c>
      <c r="R60" s="47" t="n"/>
      <c r="S60" s="47" t="n"/>
      <c r="T60" s="29" t="n"/>
      <c r="U60" s="25" t="n"/>
      <c r="V60" s="24" t="n"/>
      <c r="W60" s="145">
        <f>V60-U60</f>
        <v/>
      </c>
      <c r="X60" s="43">
        <f>SUM(IF((OR(G60="",H60="")),0,IF((H60&lt;G60),(((H60-G60)*1440)/24)+24,(H60-G60)*1440)/24)*24)/1440*24</f>
        <v/>
      </c>
      <c r="Y60" s="30">
        <f>R60</f>
        <v/>
      </c>
      <c r="Z60" s="30">
        <f>(N60+O60+P60+S60)</f>
        <v/>
      </c>
      <c r="AA60" s="42">
        <f>Q60+R60</f>
        <v/>
      </c>
      <c r="AB60" s="38">
        <f>N60+O60+P60+S60+X60+Y60</f>
        <v/>
      </c>
      <c r="AC60" s="11">
        <f>(W60-T60)*0.545</f>
        <v/>
      </c>
      <c r="AD60" s="76" t="n"/>
      <c r="AE60" s="16" t="n"/>
      <c r="AF60" s="17" t="n"/>
    </row>
    <row r="61">
      <c r="A61" s="13" t="n"/>
      <c r="B61" s="13" t="n"/>
      <c r="C61" s="13" t="n"/>
      <c r="D61" s="12" t="n"/>
      <c r="E61" s="12">
        <f>IFERROR(VLOOKUP(D61,Sheet3!A$1:B$50,2,FALSE),"")</f>
        <v/>
      </c>
      <c r="F61" s="143" t="n"/>
      <c r="G61" s="67" t="n"/>
      <c r="H61" s="68" t="n"/>
      <c r="I61" s="15" t="n"/>
      <c r="J61" s="15" t="n"/>
      <c r="K61" s="45" t="n"/>
      <c r="L61" s="12" t="n"/>
      <c r="M61" s="23" t="n"/>
      <c r="N61" s="46" t="n"/>
      <c r="O61" s="46" t="n"/>
      <c r="P61" s="46" t="n"/>
      <c r="Q61" s="53">
        <f>SUM(IF((OR(A61="Travel-PT",A61="Travel-FS-OH",A61="Travel-FS-IH")),(((((H61-G61)*1440)/24)*24)/1440*24),0))</f>
        <v/>
      </c>
      <c r="R61" s="47" t="n"/>
      <c r="S61" s="47" t="n"/>
      <c r="T61" s="29" t="n"/>
      <c r="U61" s="25" t="n"/>
      <c r="V61" s="24" t="n"/>
      <c r="W61" s="145">
        <f>V61-U61</f>
        <v/>
      </c>
      <c r="X61" s="43">
        <f>SUM(IF((OR(G61="",H61="")),0,IF((H61&lt;G61),(((H61-G61)*1440)/24)+24,(H61-G61)*1440)/24)*24)/1440*24</f>
        <v/>
      </c>
      <c r="Y61" s="30">
        <f>R61</f>
        <v/>
      </c>
      <c r="Z61" s="30">
        <f>(N61+O61+P61+S61)</f>
        <v/>
      </c>
      <c r="AA61" s="42">
        <f>Q61+R61</f>
        <v/>
      </c>
      <c r="AB61" s="38">
        <f>N61+O61+P61+S61+X61+Y61</f>
        <v/>
      </c>
      <c r="AC61" s="11">
        <f>(W61-T61)*0.545</f>
        <v/>
      </c>
      <c r="AD61" s="76" t="n"/>
      <c r="AE61" s="16" t="n"/>
      <c r="AF61" s="17" t="n"/>
    </row>
    <row r="62">
      <c r="A62" s="13" t="n"/>
      <c r="B62" s="13" t="n"/>
      <c r="C62" s="13" t="n"/>
      <c r="D62" s="12" t="n"/>
      <c r="E62" s="12">
        <f>IFERROR(VLOOKUP(D62,Sheet3!A$1:B$50,2,FALSE),"")</f>
        <v/>
      </c>
      <c r="F62" s="143" t="n"/>
      <c r="G62" s="67" t="n"/>
      <c r="H62" s="68" t="n"/>
      <c r="I62" s="15" t="n"/>
      <c r="J62" s="15" t="n"/>
      <c r="K62" s="45" t="n"/>
      <c r="L62" s="12" t="n"/>
      <c r="M62" s="23" t="n"/>
      <c r="N62" s="46" t="n"/>
      <c r="O62" s="46" t="n"/>
      <c r="P62" s="46" t="n"/>
      <c r="Q62" s="53">
        <f>SUM(IF((OR(A62="Travel-PT",A62="Travel-FS-OH",A62="Travel-FS-IH")),(((((H62-G62)*1440)/24)*24)/1440*24),0))</f>
        <v/>
      </c>
      <c r="R62" s="47" t="n"/>
      <c r="S62" s="47" t="n"/>
      <c r="T62" s="29" t="n"/>
      <c r="U62" s="25" t="n"/>
      <c r="V62" s="24" t="n"/>
      <c r="W62" s="145">
        <f>V62-U62</f>
        <v/>
      </c>
      <c r="X62" s="43">
        <f>SUM(IF((OR(G62="",H62="")),0,IF((H62&lt;G62),(((H62-G62)*1440)/24)+24,(H62-G62)*1440)/24)*24)/1440*24</f>
        <v/>
      </c>
      <c r="Y62" s="30">
        <f>R62</f>
        <v/>
      </c>
      <c r="Z62" s="30">
        <f>(N62+O62+P62+S62)</f>
        <v/>
      </c>
      <c r="AA62" s="42">
        <f>Q62+R62</f>
        <v/>
      </c>
      <c r="AB62" s="38">
        <f>N62+O62+P62+S62+X62+Y62</f>
        <v/>
      </c>
      <c r="AC62" s="11">
        <f>(W62-T62)*0.545</f>
        <v/>
      </c>
      <c r="AD62" s="76" t="n"/>
      <c r="AE62" s="16" t="n"/>
      <c r="AF62" s="17" t="n"/>
    </row>
    <row r="63">
      <c r="A63" s="13" t="n"/>
      <c r="B63" s="13" t="n"/>
      <c r="C63" s="13" t="n"/>
      <c r="D63" s="12" t="n"/>
      <c r="E63" s="12">
        <f>IFERROR(VLOOKUP(D63,Sheet3!A$1:B$50,2,FALSE),"")</f>
        <v/>
      </c>
      <c r="F63" s="143" t="n"/>
      <c r="G63" s="67" t="n"/>
      <c r="H63" s="68" t="n"/>
      <c r="I63" s="15" t="n"/>
      <c r="J63" s="15" t="n"/>
      <c r="K63" s="45" t="n"/>
      <c r="L63" s="12" t="n"/>
      <c r="M63" s="23" t="n"/>
      <c r="N63" s="46" t="n"/>
      <c r="O63" s="46" t="n"/>
      <c r="P63" s="46" t="n"/>
      <c r="Q63" s="53">
        <f>SUM(IF((OR(A63="Travel-PT",A63="Travel-FS-OH",A63="Travel-FS-IH")),(((((H63-G63)*1440)/24)*24)/1440*24),0))</f>
        <v/>
      </c>
      <c r="R63" s="47" t="n"/>
      <c r="S63" s="47" t="n"/>
      <c r="T63" s="29" t="n"/>
      <c r="U63" s="25" t="n"/>
      <c r="V63" s="24" t="n"/>
      <c r="W63" s="145">
        <f>V63-U63</f>
        <v/>
      </c>
      <c r="X63" s="43">
        <f>SUM(IF((OR(G63="",H63="")),0,IF((H63&lt;G63),(((H63-G63)*1440)/24)+24,(H63-G63)*1440)/24)*24)/1440*24</f>
        <v/>
      </c>
      <c r="Y63" s="30">
        <f>R63</f>
        <v/>
      </c>
      <c r="Z63" s="30">
        <f>(N63+O63+P63+S63)</f>
        <v/>
      </c>
      <c r="AA63" s="42">
        <f>Q63+R63</f>
        <v/>
      </c>
      <c r="AB63" s="38">
        <f>N63+O63+P63+S63+X63+Y63</f>
        <v/>
      </c>
      <c r="AC63" s="11">
        <f>(W63-T63)*0.545</f>
        <v/>
      </c>
      <c r="AD63" s="76" t="n"/>
      <c r="AE63" s="16" t="n"/>
      <c r="AF63" s="17" t="n"/>
    </row>
    <row r="64">
      <c r="A64" s="13" t="n"/>
      <c r="B64" s="13" t="n"/>
      <c r="C64" s="13" t="n"/>
      <c r="D64" s="12" t="n"/>
      <c r="E64" s="12">
        <f>IFERROR(VLOOKUP(D64,Sheet3!A$1:B$50,2,FALSE),"")</f>
        <v/>
      </c>
      <c r="F64" s="143" t="n"/>
      <c r="G64" s="67" t="n"/>
      <c r="H64" s="68" t="n"/>
      <c r="I64" s="15" t="n"/>
      <c r="J64" s="15" t="n"/>
      <c r="K64" s="45" t="n"/>
      <c r="L64" s="12" t="n"/>
      <c r="M64" s="23" t="n"/>
      <c r="N64" s="46" t="n"/>
      <c r="O64" s="46" t="n"/>
      <c r="P64" s="46" t="n"/>
      <c r="Q64" s="53">
        <f>SUM(IF((OR(A64="Travel-PT",A64="Travel-FS-OH",A64="Travel-FS-IH")),(((((H64-G64)*1440)/24)*24)/1440*24),0))</f>
        <v/>
      </c>
      <c r="R64" s="47" t="n"/>
      <c r="S64" s="47" t="n"/>
      <c r="T64" s="29" t="n"/>
      <c r="U64" s="25" t="n"/>
      <c r="V64" s="24" t="n"/>
      <c r="W64" s="145">
        <f>V64-U64</f>
        <v/>
      </c>
      <c r="X64" s="43">
        <f>SUM(IF((OR(G64="",H64="")),0,IF((H64&lt;G64),(((H64-G64)*1440)/24)+24,(H64-G64)*1440)/24)*24)/1440*24</f>
        <v/>
      </c>
      <c r="Y64" s="30">
        <f>R64</f>
        <v/>
      </c>
      <c r="Z64" s="30">
        <f>(N64+O64+P64+S64)</f>
        <v/>
      </c>
      <c r="AA64" s="42">
        <f>Q64+R64</f>
        <v/>
      </c>
      <c r="AB64" s="38">
        <f>N64+O64+P64+S64+X64+Y64</f>
        <v/>
      </c>
      <c r="AC64" s="11">
        <f>(W64-T64)*0.545</f>
        <v/>
      </c>
      <c r="AD64" s="76" t="n"/>
      <c r="AE64" s="16" t="n"/>
      <c r="AF64" s="17" t="n"/>
    </row>
    <row r="65">
      <c r="A65" s="13" t="n"/>
      <c r="B65" s="13" t="n"/>
      <c r="C65" s="13" t="n"/>
      <c r="D65" s="12" t="n"/>
      <c r="E65" s="12">
        <f>IFERROR(VLOOKUP(D65,Sheet3!A$1:B$50,2,FALSE),"")</f>
        <v/>
      </c>
      <c r="F65" s="143" t="n"/>
      <c r="G65" s="67" t="n"/>
      <c r="H65" s="68" t="n"/>
      <c r="I65" s="15" t="n"/>
      <c r="J65" s="15" t="n"/>
      <c r="K65" s="45" t="n"/>
      <c r="L65" s="12" t="n"/>
      <c r="M65" s="23" t="n"/>
      <c r="N65" s="46" t="n"/>
      <c r="O65" s="46" t="n"/>
      <c r="P65" s="46" t="n"/>
      <c r="Q65" s="53">
        <f>SUM(IF((OR(A65="Travel-PT",A65="Travel-FS-OH",A65="Travel-FS-IH")),(((((H65-G65)*1440)/24)*24)/1440*24),0))</f>
        <v/>
      </c>
      <c r="R65" s="47" t="n"/>
      <c r="S65" s="47" t="n"/>
      <c r="T65" s="29" t="n"/>
      <c r="U65" s="25" t="n"/>
      <c r="V65" s="24" t="n"/>
      <c r="W65" s="145">
        <f>V65-U65</f>
        <v/>
      </c>
      <c r="X65" s="43">
        <f>SUM(IF((OR(G65="",H65="")),0,IF((H65&lt;G65),(((H65-G65)*1440)/24)+24,(H65-G65)*1440)/24)*24)/1440*24</f>
        <v/>
      </c>
      <c r="Y65" s="30">
        <f>R65</f>
        <v/>
      </c>
      <c r="Z65" s="30">
        <f>(N65+O65+P65+S65)</f>
        <v/>
      </c>
      <c r="AA65" s="42">
        <f>Q65+R65</f>
        <v/>
      </c>
      <c r="AB65" s="38">
        <f>N65+O65+P65+S65+X65+Y65</f>
        <v/>
      </c>
      <c r="AC65" s="11">
        <f>(W65-T65)*0.545</f>
        <v/>
      </c>
      <c r="AD65" s="76" t="n"/>
      <c r="AE65" s="16" t="n"/>
      <c r="AF65" s="17" t="n"/>
    </row>
    <row r="66">
      <c r="A66" s="13" t="n"/>
      <c r="B66" s="13" t="n"/>
      <c r="C66" s="13" t="n"/>
      <c r="D66" s="12" t="n"/>
      <c r="E66" s="12">
        <f>IFERROR(VLOOKUP(D66,Sheet3!A$1:B$50,2,FALSE),"")</f>
        <v/>
      </c>
      <c r="F66" s="143" t="n"/>
      <c r="G66" s="67" t="n"/>
      <c r="H66" s="68" t="n"/>
      <c r="I66" s="15" t="n"/>
      <c r="J66" s="15" t="n"/>
      <c r="K66" s="45" t="n"/>
      <c r="L66" s="12" t="n"/>
      <c r="M66" s="23" t="n"/>
      <c r="N66" s="46" t="n"/>
      <c r="O66" s="46" t="n"/>
      <c r="P66" s="46" t="n"/>
      <c r="Q66" s="53">
        <f>SUM(IF((OR(A66="Travel-PT",A66="Travel-FS-OH",A66="Travel-FS-IH")),(((((H66-G66)*1440)/24)*24)/1440*24),0))</f>
        <v/>
      </c>
      <c r="R66" s="47" t="n"/>
      <c r="S66" s="47" t="n"/>
      <c r="T66" s="29" t="n"/>
      <c r="U66" s="25" t="n"/>
      <c r="V66" s="24" t="n"/>
      <c r="W66" s="145">
        <f>V66-U66</f>
        <v/>
      </c>
      <c r="X66" s="43">
        <f>SUM(IF((OR(G66="",H66="")),0,IF((H66&lt;G66),(((H66-G66)*1440)/24)+24,(H66-G66)*1440)/24)*24)/1440*24</f>
        <v/>
      </c>
      <c r="Y66" s="30">
        <f>R66</f>
        <v/>
      </c>
      <c r="Z66" s="30">
        <f>(N66+O66+P66+S66)</f>
        <v/>
      </c>
      <c r="AA66" s="42">
        <f>Q66+R66</f>
        <v/>
      </c>
      <c r="AB66" s="38">
        <f>N66+O66+P66+S66+X66+Y66</f>
        <v/>
      </c>
      <c r="AC66" s="11">
        <f>(W66-T66)*0.545</f>
        <v/>
      </c>
      <c r="AD66" s="76" t="n"/>
      <c r="AE66" s="16" t="n"/>
      <c r="AF66" s="17" t="n"/>
    </row>
    <row r="67">
      <c r="A67" s="13" t="n"/>
      <c r="B67" s="13" t="n"/>
      <c r="C67" s="13" t="n"/>
      <c r="D67" s="12" t="n"/>
      <c r="E67" s="12">
        <f>IFERROR(VLOOKUP(D67,Sheet3!A$1:B$50,2,FALSE),"")</f>
        <v/>
      </c>
      <c r="F67" s="143" t="n"/>
      <c r="G67" s="67" t="n"/>
      <c r="H67" s="68" t="n"/>
      <c r="I67" s="15" t="n"/>
      <c r="J67" s="15" t="n"/>
      <c r="K67" s="45" t="n"/>
      <c r="L67" s="12" t="n"/>
      <c r="M67" s="23" t="n"/>
      <c r="N67" s="46" t="n"/>
      <c r="O67" s="46" t="n"/>
      <c r="P67" s="46" t="n"/>
      <c r="Q67" s="53">
        <f>SUM(IF((OR(A67="Travel-PT",A67="Travel-FS-OH",A67="Travel-FS-IH")),(((((H67-G67)*1440)/24)*24)/1440*24),0))</f>
        <v/>
      </c>
      <c r="R67" s="47" t="n"/>
      <c r="S67" s="47" t="n"/>
      <c r="T67" s="29" t="n"/>
      <c r="U67" s="25" t="n"/>
      <c r="V67" s="24" t="n"/>
      <c r="W67" s="145">
        <f>V67-U67</f>
        <v/>
      </c>
      <c r="X67" s="43">
        <f>SUM(IF((OR(G67="",H67="")),0,IF((H67&lt;G67),(((H67-G67)*1440)/24)+24,(H67-G67)*1440)/24)*24)/1440*24</f>
        <v/>
      </c>
      <c r="Y67" s="30">
        <f>R67</f>
        <v/>
      </c>
      <c r="Z67" s="30">
        <f>(N67+O67+P67+S67)</f>
        <v/>
      </c>
      <c r="AA67" s="42">
        <f>Q67+R67</f>
        <v/>
      </c>
      <c r="AB67" s="38">
        <f>N67+O67+P67+S67+X67+Y67</f>
        <v/>
      </c>
      <c r="AC67" s="11">
        <f>(W67-T67)*0.545</f>
        <v/>
      </c>
      <c r="AD67" s="76" t="n"/>
      <c r="AE67" s="16" t="n"/>
      <c r="AF67" s="17" t="n"/>
    </row>
    <row r="68">
      <c r="A68" s="13" t="n"/>
      <c r="B68" s="13" t="n"/>
      <c r="C68" s="13" t="n"/>
      <c r="D68" s="12" t="n"/>
      <c r="E68" s="12">
        <f>IFERROR(VLOOKUP(D68,Sheet3!A$1:B$50,2,FALSE),"")</f>
        <v/>
      </c>
      <c r="F68" s="143" t="n"/>
      <c r="G68" s="67" t="n"/>
      <c r="H68" s="68" t="n"/>
      <c r="I68" s="15" t="n"/>
      <c r="J68" s="15" t="n"/>
      <c r="K68" s="45" t="n"/>
      <c r="L68" s="12" t="n"/>
      <c r="M68" s="23" t="n"/>
      <c r="N68" s="46" t="n"/>
      <c r="O68" s="46" t="n"/>
      <c r="P68" s="46" t="n"/>
      <c r="Q68" s="53">
        <f>SUM(IF((OR(A68="Travel-PT",A68="Travel-FS-OH",A68="Travel-FS-IH")),(((((H68-G68)*1440)/24)*24)/1440*24),0))</f>
        <v/>
      </c>
      <c r="R68" s="47" t="n"/>
      <c r="S68" s="47" t="n"/>
      <c r="T68" s="29" t="n"/>
      <c r="U68" s="25" t="n"/>
      <c r="V68" s="24" t="n"/>
      <c r="W68" s="145">
        <f>V68-U68</f>
        <v/>
      </c>
      <c r="X68" s="43">
        <f>SUM(IF((OR(G68="",H68="")),0,IF((H68&lt;G68),(((H68-G68)*1440)/24)+24,(H68-G68)*1440)/24)*24)/1440*24</f>
        <v/>
      </c>
      <c r="Y68" s="30">
        <f>R68</f>
        <v/>
      </c>
      <c r="Z68" s="30">
        <f>(N68+O68+P68+S68)</f>
        <v/>
      </c>
      <c r="AA68" s="42">
        <f>Q68+R68</f>
        <v/>
      </c>
      <c r="AB68" s="38">
        <f>N68+O68+P68+S68+X68+Y68</f>
        <v/>
      </c>
      <c r="AC68" s="11">
        <f>(W68-T68)*0.545</f>
        <v/>
      </c>
      <c r="AD68" s="76" t="n"/>
      <c r="AE68" s="16" t="n"/>
      <c r="AF68" s="17" t="n"/>
    </row>
    <row r="69">
      <c r="A69" s="13" t="n"/>
      <c r="B69" s="13" t="n"/>
      <c r="C69" s="13" t="n"/>
      <c r="D69" s="12" t="n"/>
      <c r="E69" s="12">
        <f>IFERROR(VLOOKUP(D69,Sheet3!A$1:B$50,2,FALSE),"")</f>
        <v/>
      </c>
      <c r="F69" s="143" t="n"/>
      <c r="G69" s="67" t="n"/>
      <c r="H69" s="68" t="n"/>
      <c r="I69" s="15" t="n"/>
      <c r="J69" s="15" t="n"/>
      <c r="K69" s="45" t="n"/>
      <c r="L69" s="12" t="n"/>
      <c r="M69" s="23" t="n"/>
      <c r="N69" s="46" t="n"/>
      <c r="O69" s="46" t="n"/>
      <c r="P69" s="46" t="n"/>
      <c r="Q69" s="53">
        <f>SUM(IF((OR(A69="Travel-PT",A69="Travel-FS-OH",A69="Travel-FS-IH")),(((((H69-G69)*1440)/24)*24)/1440*24),0))</f>
        <v/>
      </c>
      <c r="R69" s="47" t="n"/>
      <c r="S69" s="47" t="n"/>
      <c r="T69" s="29" t="n"/>
      <c r="U69" s="25" t="n"/>
      <c r="V69" s="24" t="n"/>
      <c r="W69" s="145">
        <f>V69-U69</f>
        <v/>
      </c>
      <c r="X69" s="43">
        <f>SUM(IF((OR(G69="",H69="")),0,IF((H69&lt;G69),(((H69-G69)*1440)/24)+24,(H69-G69)*1440)/24)*24)/1440*24</f>
        <v/>
      </c>
      <c r="Y69" s="30">
        <f>R69</f>
        <v/>
      </c>
      <c r="Z69" s="30">
        <f>(N69+O69+P69+S69)</f>
        <v/>
      </c>
      <c r="AA69" s="42">
        <f>Q69+R69</f>
        <v/>
      </c>
      <c r="AB69" s="38">
        <f>N69+O69+P69+S69+X69+Y69</f>
        <v/>
      </c>
      <c r="AC69" s="11">
        <f>(W69-T69)*0.545</f>
        <v/>
      </c>
      <c r="AD69" s="76" t="n"/>
      <c r="AE69" s="16" t="n"/>
      <c r="AF69" s="17" t="n"/>
    </row>
    <row r="70">
      <c r="A70" s="13" t="n"/>
      <c r="B70" s="13" t="n"/>
      <c r="C70" s="13" t="n"/>
      <c r="D70" s="12" t="n"/>
      <c r="E70" s="12">
        <f>IFERROR(VLOOKUP(D70,Sheet3!A$1:B$50,2,FALSE),"")</f>
        <v/>
      </c>
      <c r="F70" s="143" t="n"/>
      <c r="G70" s="67" t="n"/>
      <c r="H70" s="68" t="n"/>
      <c r="I70" s="15" t="n"/>
      <c r="J70" s="15" t="n"/>
      <c r="K70" s="45" t="n"/>
      <c r="L70" s="12" t="n"/>
      <c r="M70" s="23" t="n"/>
      <c r="N70" s="46" t="n"/>
      <c r="O70" s="46" t="n"/>
      <c r="P70" s="46" t="n"/>
      <c r="Q70" s="53">
        <f>SUM(IF((OR(A70="Travel-PT",A70="Travel-FS-OH",A70="Travel-FS-IH")),(((((H70-G70)*1440)/24)*24)/1440*24),0))</f>
        <v/>
      </c>
      <c r="R70" s="47" t="n"/>
      <c r="S70" s="47" t="n"/>
      <c r="T70" s="29" t="n"/>
      <c r="U70" s="25" t="n"/>
      <c r="V70" s="24" t="n"/>
      <c r="W70" s="145">
        <f>V70-U70</f>
        <v/>
      </c>
      <c r="X70" s="43">
        <f>SUM(IF((OR(G70="",H70="")),0,IF((H70&lt;G70),(((H70-G70)*1440)/24)+24,(H70-G70)*1440)/24)*24)/1440*24</f>
        <v/>
      </c>
      <c r="Y70" s="30">
        <f>R70</f>
        <v/>
      </c>
      <c r="Z70" s="30">
        <f>(N70+O70+P70+S70)</f>
        <v/>
      </c>
      <c r="AA70" s="42">
        <f>Q70+R70</f>
        <v/>
      </c>
      <c r="AB70" s="38">
        <f>N70+O70+P70+S70+X70+Y70</f>
        <v/>
      </c>
      <c r="AC70" s="11">
        <f>(W70-T70)*0.545</f>
        <v/>
      </c>
      <c r="AD70" s="76" t="n"/>
      <c r="AE70" s="16" t="n"/>
      <c r="AF70" s="17" t="n"/>
    </row>
    <row r="71">
      <c r="A71" s="13" t="n"/>
      <c r="B71" s="13" t="n"/>
      <c r="C71" s="13" t="n"/>
      <c r="D71" s="12" t="n"/>
      <c r="E71" s="12">
        <f>IFERROR(VLOOKUP(D71,Sheet3!A$1:B$50,2,FALSE),"")</f>
        <v/>
      </c>
      <c r="F71" s="143" t="n"/>
      <c r="G71" s="67" t="n"/>
      <c r="H71" s="68" t="n"/>
      <c r="I71" s="15" t="n"/>
      <c r="J71" s="15" t="n"/>
      <c r="K71" s="45" t="n"/>
      <c r="L71" s="12" t="n"/>
      <c r="M71" s="23" t="n"/>
      <c r="N71" s="46" t="n"/>
      <c r="O71" s="46" t="n"/>
      <c r="P71" s="46" t="n"/>
      <c r="Q71" s="53">
        <f>SUM(IF((OR(A71="Travel-PT",A71="Travel-FS-OH",A71="Travel-FS-IH")),(((((H71-G71)*1440)/24)*24)/1440*24),0))</f>
        <v/>
      </c>
      <c r="R71" s="47" t="n"/>
      <c r="S71" s="47" t="n"/>
      <c r="T71" s="29" t="n"/>
      <c r="U71" s="25" t="n"/>
      <c r="V71" s="24" t="n"/>
      <c r="W71" s="145">
        <f>V71-U71</f>
        <v/>
      </c>
      <c r="X71" s="43">
        <f>SUM(IF((OR(G71="",H71="")),0,IF((H71&lt;G71),(((H71-G71)*1440)/24)+24,(H71-G71)*1440)/24)*24)/1440*24</f>
        <v/>
      </c>
      <c r="Y71" s="30">
        <f>R71</f>
        <v/>
      </c>
      <c r="Z71" s="30">
        <f>(N71+O71+P71+S71)</f>
        <v/>
      </c>
      <c r="AA71" s="42">
        <f>Q71+R71</f>
        <v/>
      </c>
      <c r="AB71" s="38">
        <f>N71+O71+P71+S71+X71+Y71</f>
        <v/>
      </c>
      <c r="AC71" s="11">
        <f>(W71-T71)*0.545</f>
        <v/>
      </c>
      <c r="AD71" s="76" t="n"/>
      <c r="AE71" s="16" t="n"/>
      <c r="AF71" s="17" t="n"/>
    </row>
    <row r="72">
      <c r="A72" s="13" t="n"/>
      <c r="B72" s="13" t="n"/>
      <c r="C72" s="13" t="n"/>
      <c r="D72" s="12" t="n"/>
      <c r="E72" s="12">
        <f>IFERROR(VLOOKUP(D72,Sheet3!A$1:B$50,2,FALSE),"")</f>
        <v/>
      </c>
      <c r="F72" s="143" t="n"/>
      <c r="G72" s="67" t="n"/>
      <c r="H72" s="68" t="n"/>
      <c r="I72" s="15" t="n"/>
      <c r="J72" s="15" t="n"/>
      <c r="K72" s="45" t="n"/>
      <c r="L72" s="12" t="n"/>
      <c r="M72" s="23" t="n"/>
      <c r="N72" s="46" t="n"/>
      <c r="O72" s="46" t="n"/>
      <c r="P72" s="46" t="n"/>
      <c r="Q72" s="53">
        <f>SUM(IF((OR(A72="Travel-PT",A72="Travel-FS-OH",A72="Travel-FS-IH")),(((((H72-G72)*1440)/24)*24)/1440*24),0))</f>
        <v/>
      </c>
      <c r="R72" s="47" t="n"/>
      <c r="S72" s="47" t="n"/>
      <c r="T72" s="29" t="n"/>
      <c r="U72" s="25" t="n"/>
      <c r="V72" s="24" t="n"/>
      <c r="W72" s="145">
        <f>V72-U72</f>
        <v/>
      </c>
      <c r="X72" s="43">
        <f>SUM(IF((OR(G72="",H72="")),0,IF((H72&lt;G72),(((H72-G72)*1440)/24)+24,(H72-G72)*1440)/24)*24)/1440*24</f>
        <v/>
      </c>
      <c r="Y72" s="30">
        <f>R72</f>
        <v/>
      </c>
      <c r="Z72" s="30">
        <f>(N72+O72+P72+S72)</f>
        <v/>
      </c>
      <c r="AA72" s="42">
        <f>Q72+R72</f>
        <v/>
      </c>
      <c r="AB72" s="38">
        <f>N72+O72+P72+S72+X72+Y72</f>
        <v/>
      </c>
      <c r="AC72" s="11">
        <f>(W72-T72)*0.545</f>
        <v/>
      </c>
      <c r="AD72" s="76" t="n"/>
      <c r="AE72" s="16" t="n"/>
      <c r="AF72" s="17" t="n"/>
    </row>
    <row r="73">
      <c r="A73" s="13" t="n"/>
      <c r="B73" s="13" t="n"/>
      <c r="C73" s="13" t="n"/>
      <c r="D73" s="12" t="n"/>
      <c r="E73" s="12">
        <f>IFERROR(VLOOKUP(D73,Sheet3!A$1:B$50,2,FALSE),"")</f>
        <v/>
      </c>
      <c r="F73" s="143" t="n"/>
      <c r="G73" s="67" t="n"/>
      <c r="H73" s="68" t="n"/>
      <c r="I73" s="15" t="n"/>
      <c r="J73" s="15" t="n"/>
      <c r="K73" s="45" t="n"/>
      <c r="L73" s="12" t="n"/>
      <c r="M73" s="23" t="n"/>
      <c r="N73" s="46" t="n"/>
      <c r="O73" s="46" t="n"/>
      <c r="P73" s="46" t="n"/>
      <c r="Q73" s="53">
        <f>SUM(IF((OR(A73="Travel-PT",A73="Travel-FS-OH",A73="Travel-FS-IH")),(((((H73-G73)*1440)/24)*24)/1440*24),0))</f>
        <v/>
      </c>
      <c r="R73" s="47" t="n"/>
      <c r="S73" s="47" t="n"/>
      <c r="T73" s="29" t="n"/>
      <c r="U73" s="25" t="n"/>
      <c r="V73" s="24" t="n"/>
      <c r="W73" s="145">
        <f>V73-U73</f>
        <v/>
      </c>
      <c r="X73" s="43">
        <f>SUM(IF((OR(G73="",H73="")),0,IF((H73&lt;G73),(((H73-G73)*1440)/24)+24,(H73-G73)*1440)/24)*24)/1440*24</f>
        <v/>
      </c>
      <c r="Y73" s="30">
        <f>R73</f>
        <v/>
      </c>
      <c r="Z73" s="30">
        <f>(N73+O73+P73+S73)</f>
        <v/>
      </c>
      <c r="AA73" s="42">
        <f>Q73+R73</f>
        <v/>
      </c>
      <c r="AB73" s="38">
        <f>N73+O73+P73+S73+X73+Y73</f>
        <v/>
      </c>
      <c r="AC73" s="11">
        <f>(W73-T73)*0.545</f>
        <v/>
      </c>
      <c r="AD73" s="76" t="n"/>
      <c r="AE73" s="16" t="n"/>
      <c r="AF73" s="17" t="n"/>
    </row>
    <row r="74">
      <c r="A74" s="13" t="n"/>
      <c r="B74" s="13" t="n"/>
      <c r="C74" s="13" t="n"/>
      <c r="D74" s="12" t="n"/>
      <c r="E74" s="12">
        <f>IFERROR(VLOOKUP(D74,Sheet3!A$1:B$50,2,FALSE),"")</f>
        <v/>
      </c>
      <c r="F74" s="143" t="n"/>
      <c r="G74" s="67" t="n"/>
      <c r="H74" s="68" t="n"/>
      <c r="I74" s="15" t="n"/>
      <c r="J74" s="15" t="n"/>
      <c r="K74" s="45" t="n"/>
      <c r="L74" s="12" t="n"/>
      <c r="M74" s="23" t="n"/>
      <c r="N74" s="46" t="n"/>
      <c r="O74" s="46" t="n"/>
      <c r="P74" s="46" t="n"/>
      <c r="Q74" s="53">
        <f>SUM(IF((OR(A74="Travel-PT",A74="Travel-FS-OH",A74="Travel-FS-IH")),(((((H74-G74)*1440)/24)*24)/1440*24),0))</f>
        <v/>
      </c>
      <c r="R74" s="47" t="n"/>
      <c r="S74" s="47" t="n"/>
      <c r="T74" s="29" t="n"/>
      <c r="U74" s="25" t="n"/>
      <c r="V74" s="24" t="n"/>
      <c r="W74" s="145">
        <f>V74-U74</f>
        <v/>
      </c>
      <c r="X74" s="43">
        <f>SUM(IF((OR(G74="",H74="")),0,IF((H74&lt;G74),(((H74-G74)*1440)/24)+24,(H74-G74)*1440)/24)*24)/1440*24</f>
        <v/>
      </c>
      <c r="Y74" s="30">
        <f>R74</f>
        <v/>
      </c>
      <c r="Z74" s="30">
        <f>(N74+O74+P74+S74)</f>
        <v/>
      </c>
      <c r="AA74" s="42">
        <f>Q74+R74</f>
        <v/>
      </c>
      <c r="AB74" s="38">
        <f>N74+O74+P74+S74+X74+Y74</f>
        <v/>
      </c>
      <c r="AC74" s="11">
        <f>(W74-T74)*0.545</f>
        <v/>
      </c>
      <c r="AD74" s="76" t="n"/>
      <c r="AE74" s="16" t="n"/>
      <c r="AF74" s="17" t="n"/>
    </row>
    <row r="75">
      <c r="A75" s="13" t="n"/>
      <c r="B75" s="13" t="n"/>
      <c r="C75" s="13" t="n"/>
      <c r="D75" s="12" t="n"/>
      <c r="E75" s="12">
        <f>IFERROR(VLOOKUP(D75,Sheet3!A$1:B$50,2,FALSE),"")</f>
        <v/>
      </c>
      <c r="F75" s="143" t="n"/>
      <c r="G75" s="67" t="n"/>
      <c r="H75" s="68" t="n"/>
      <c r="I75" s="15" t="n"/>
      <c r="J75" s="15" t="n"/>
      <c r="K75" s="45" t="n"/>
      <c r="L75" s="12" t="n"/>
      <c r="M75" s="23" t="n"/>
      <c r="N75" s="46" t="n"/>
      <c r="O75" s="46" t="n"/>
      <c r="P75" s="46" t="n"/>
      <c r="Q75" s="53">
        <f>SUM(IF((OR(A75="Travel-PT",A75="Travel-FS-OH",A75="Travel-FS-IH")),(((((H75-G75)*1440)/24)*24)/1440*24),0))</f>
        <v/>
      </c>
      <c r="R75" s="47" t="n"/>
      <c r="S75" s="47" t="n"/>
      <c r="T75" s="29" t="n"/>
      <c r="U75" s="25" t="n"/>
      <c r="V75" s="24" t="n"/>
      <c r="W75" s="145">
        <f>V75-U75</f>
        <v/>
      </c>
      <c r="X75" s="43">
        <f>SUM(IF((OR(G75="",H75="")),0,IF((H75&lt;G75),(((H75-G75)*1440)/24)+24,(H75-G75)*1440)/24)*24)/1440*24</f>
        <v/>
      </c>
      <c r="Y75" s="30">
        <f>R75</f>
        <v/>
      </c>
      <c r="Z75" s="30">
        <f>(N75+O75+P75+S75)</f>
        <v/>
      </c>
      <c r="AA75" s="42">
        <f>Q75+R75</f>
        <v/>
      </c>
      <c r="AB75" s="38">
        <f>N75+O75+P75+S75+X75+Y75</f>
        <v/>
      </c>
      <c r="AC75" s="11">
        <f>(W75-T75)*0.545</f>
        <v/>
      </c>
      <c r="AD75" s="76" t="n"/>
      <c r="AE75" s="16" t="n"/>
      <c r="AF75" s="17" t="n"/>
    </row>
    <row r="76">
      <c r="A76" s="13" t="n"/>
      <c r="B76" s="13" t="n"/>
      <c r="C76" s="13" t="n"/>
      <c r="D76" s="12" t="n"/>
      <c r="E76" s="12">
        <f>IFERROR(VLOOKUP(D76,Sheet3!A$1:B$50,2,FALSE),"")</f>
        <v/>
      </c>
      <c r="F76" s="143" t="n"/>
      <c r="G76" s="67" t="n"/>
      <c r="H76" s="68" t="n"/>
      <c r="I76" s="15" t="n"/>
      <c r="J76" s="15" t="n"/>
      <c r="K76" s="45" t="n"/>
      <c r="L76" s="12" t="n"/>
      <c r="M76" s="23" t="n"/>
      <c r="N76" s="46" t="n"/>
      <c r="O76" s="46" t="n"/>
      <c r="P76" s="46" t="n"/>
      <c r="Q76" s="53">
        <f>SUM(IF((OR(A76="Travel-PT",A76="Travel-FS-OH",A76="Travel-FS-IH")),(((((H76-G76)*1440)/24)*24)/1440*24),0))</f>
        <v/>
      </c>
      <c r="R76" s="47" t="n"/>
      <c r="S76" s="47" t="n"/>
      <c r="T76" s="29" t="n"/>
      <c r="U76" s="25" t="n"/>
      <c r="V76" s="24" t="n"/>
      <c r="W76" s="145">
        <f>V76-U76</f>
        <v/>
      </c>
      <c r="X76" s="43">
        <f>SUM(IF((OR(G76="",H76="")),0,IF((H76&lt;G76),(((H76-G76)*1440)/24)+24,(H76-G76)*1440)/24)*24)/1440*24</f>
        <v/>
      </c>
      <c r="Y76" s="30">
        <f>R76</f>
        <v/>
      </c>
      <c r="Z76" s="30">
        <f>(N76+O76+P76+S76)</f>
        <v/>
      </c>
      <c r="AA76" s="42">
        <f>Q76+R76</f>
        <v/>
      </c>
      <c r="AB76" s="38">
        <f>N76+O76+P76+S76+X76+Y76</f>
        <v/>
      </c>
      <c r="AC76" s="11">
        <f>(W76-T76)*0.545</f>
        <v/>
      </c>
      <c r="AD76" s="76" t="n"/>
      <c r="AE76" s="16" t="n"/>
      <c r="AF76" s="17" t="n"/>
    </row>
    <row r="77">
      <c r="A77" s="13" t="n"/>
      <c r="B77" s="13" t="n"/>
      <c r="C77" s="13" t="n"/>
      <c r="D77" s="12" t="n"/>
      <c r="E77" s="12">
        <f>IFERROR(VLOOKUP(D77,Sheet3!A$1:B$50,2,FALSE),"")</f>
        <v/>
      </c>
      <c r="F77" s="143" t="n"/>
      <c r="G77" s="67" t="n"/>
      <c r="H77" s="68" t="n"/>
      <c r="I77" s="15" t="n"/>
      <c r="J77" s="15" t="n"/>
      <c r="K77" s="45" t="n"/>
      <c r="L77" s="12" t="n"/>
      <c r="M77" s="23" t="n"/>
      <c r="N77" s="46" t="n"/>
      <c r="O77" s="46" t="n"/>
      <c r="P77" s="46" t="n"/>
      <c r="Q77" s="53">
        <f>SUM(IF((OR(A77="Travel-PT",A77="Travel-FS-OH",A77="Travel-FS-IH")),(((((H77-G77)*1440)/24)*24)/1440*24),0))</f>
        <v/>
      </c>
      <c r="R77" s="47" t="n"/>
      <c r="S77" s="47" t="n"/>
      <c r="T77" s="29" t="n"/>
      <c r="U77" s="25" t="n"/>
      <c r="V77" s="24" t="n"/>
      <c r="W77" s="145">
        <f>V77-U77</f>
        <v/>
      </c>
      <c r="X77" s="43">
        <f>SUM(IF((OR(G77="",H77="")),0,IF((H77&lt;G77),(((H77-G77)*1440)/24)+24,(H77-G77)*1440)/24)*24)/1440*24</f>
        <v/>
      </c>
      <c r="Y77" s="30">
        <f>R77</f>
        <v/>
      </c>
      <c r="Z77" s="30">
        <f>(N77+O77+P77+S77)</f>
        <v/>
      </c>
      <c r="AA77" s="42">
        <f>Q77+R77</f>
        <v/>
      </c>
      <c r="AB77" s="38">
        <f>N77+O77+P77+S77+X77+Y77</f>
        <v/>
      </c>
      <c r="AC77" s="11">
        <f>(W77-T77)*0.545</f>
        <v/>
      </c>
      <c r="AD77" s="76" t="n"/>
      <c r="AE77" s="16" t="n"/>
      <c r="AF77" s="17" t="n"/>
    </row>
    <row r="78">
      <c r="A78" s="13" t="n"/>
      <c r="B78" s="13" t="n"/>
      <c r="C78" s="13" t="n"/>
      <c r="D78" s="12" t="n"/>
      <c r="E78" s="12">
        <f>IFERROR(VLOOKUP(D78,Sheet3!A$1:B$50,2,FALSE),"")</f>
        <v/>
      </c>
      <c r="F78" s="143" t="n"/>
      <c r="G78" s="67" t="n"/>
      <c r="H78" s="68" t="n"/>
      <c r="I78" s="15" t="n"/>
      <c r="J78" s="15" t="n"/>
      <c r="K78" s="45" t="n"/>
      <c r="L78" s="12" t="n"/>
      <c r="M78" s="23" t="n"/>
      <c r="N78" s="46" t="n"/>
      <c r="O78" s="46" t="n"/>
      <c r="P78" s="46" t="n"/>
      <c r="Q78" s="53">
        <f>SUM(IF((OR(A78="Travel-PT",A78="Travel-FS-OH",A78="Travel-FS-IH")),(((((H78-G78)*1440)/24)*24)/1440*24),0))</f>
        <v/>
      </c>
      <c r="R78" s="47" t="n"/>
      <c r="S78" s="47" t="n"/>
      <c r="T78" s="29" t="n"/>
      <c r="U78" s="25" t="n"/>
      <c r="V78" s="24" t="n"/>
      <c r="W78" s="145">
        <f>V78-U78</f>
        <v/>
      </c>
      <c r="X78" s="43">
        <f>SUM(IF((OR(G78="",H78="")),0,IF((H78&lt;G78),(((H78-G78)*1440)/24)+24,(H78-G78)*1440)/24)*24)/1440*24</f>
        <v/>
      </c>
      <c r="Y78" s="30">
        <f>R78</f>
        <v/>
      </c>
      <c r="Z78" s="30">
        <f>(N78+O78+P78+S78)</f>
        <v/>
      </c>
      <c r="AA78" s="42">
        <f>Q78+R78</f>
        <v/>
      </c>
      <c r="AB78" s="38">
        <f>N78+O78+P78+S78+X78+Y78</f>
        <v/>
      </c>
      <c r="AC78" s="11">
        <f>(W78-T78)*0.545</f>
        <v/>
      </c>
      <c r="AD78" s="76" t="n"/>
      <c r="AE78" s="16" t="n"/>
      <c r="AF78" s="17" t="n"/>
    </row>
    <row r="79">
      <c r="A79" s="13" t="n"/>
      <c r="B79" s="13" t="n"/>
      <c r="C79" s="13" t="n"/>
      <c r="D79" s="12" t="n"/>
      <c r="E79" s="12">
        <f>IFERROR(VLOOKUP(D79,Sheet3!A$1:B$50,2,FALSE),"")</f>
        <v/>
      </c>
      <c r="F79" s="143" t="n"/>
      <c r="G79" s="67" t="n"/>
      <c r="H79" s="68" t="n"/>
      <c r="I79" s="15" t="n"/>
      <c r="J79" s="15" t="n"/>
      <c r="K79" s="45" t="n"/>
      <c r="L79" s="12" t="n"/>
      <c r="M79" s="23" t="n"/>
      <c r="N79" s="46" t="n"/>
      <c r="O79" s="46" t="n"/>
      <c r="P79" s="46" t="n"/>
      <c r="Q79" s="53">
        <f>SUM(IF((OR(A79="Travel-PT",A79="Travel-FS-OH",A79="Travel-FS-IH")),(((((H79-G79)*1440)/24)*24)/1440*24),0))</f>
        <v/>
      </c>
      <c r="R79" s="47" t="n"/>
      <c r="S79" s="47" t="n"/>
      <c r="T79" s="29" t="n"/>
      <c r="U79" s="25" t="n"/>
      <c r="V79" s="24" t="n"/>
      <c r="W79" s="145">
        <f>V79-U79</f>
        <v/>
      </c>
      <c r="X79" s="43">
        <f>SUM(IF((OR(G79="",H79="")),0,IF((H79&lt;G79),(((H79-G79)*1440)/24)+24,(H79-G79)*1440)/24)*24)/1440*24</f>
        <v/>
      </c>
      <c r="Y79" s="30">
        <f>R79</f>
        <v/>
      </c>
      <c r="Z79" s="30">
        <f>(N79+O79+P79+S79)</f>
        <v/>
      </c>
      <c r="AA79" s="42">
        <f>Q79+R79</f>
        <v/>
      </c>
      <c r="AB79" s="38">
        <f>N79+O79+P79+S79+X79+Y79</f>
        <v/>
      </c>
      <c r="AC79" s="11">
        <f>(W79-T79)*0.545</f>
        <v/>
      </c>
      <c r="AD79" s="76" t="n"/>
      <c r="AE79" s="16" t="n"/>
      <c r="AF79" s="17" t="n"/>
    </row>
    <row r="80">
      <c r="A80" s="13" t="n"/>
      <c r="B80" s="13" t="n"/>
      <c r="C80" s="13" t="n"/>
      <c r="D80" s="12" t="n"/>
      <c r="E80" s="12">
        <f>IFERROR(VLOOKUP(D80,Sheet3!A$1:B$50,2,FALSE),"")</f>
        <v/>
      </c>
      <c r="F80" s="143" t="n"/>
      <c r="G80" s="67" t="n"/>
      <c r="H80" s="68" t="n"/>
      <c r="I80" s="15" t="n"/>
      <c r="J80" s="15" t="n"/>
      <c r="K80" s="45" t="n"/>
      <c r="L80" s="12" t="n"/>
      <c r="M80" s="23" t="n"/>
      <c r="N80" s="46" t="n"/>
      <c r="O80" s="46" t="n"/>
      <c r="P80" s="46" t="n"/>
      <c r="Q80" s="53">
        <f>SUM(IF((OR(A80="Travel-PT",A80="Travel-FS-OH",A80="Travel-FS-IH")),(((((H80-G80)*1440)/24)*24)/1440*24),0))</f>
        <v/>
      </c>
      <c r="R80" s="47" t="n"/>
      <c r="S80" s="47" t="n"/>
      <c r="T80" s="29" t="n"/>
      <c r="U80" s="25" t="n"/>
      <c r="V80" s="24" t="n"/>
      <c r="W80" s="145">
        <f>V80-U80</f>
        <v/>
      </c>
      <c r="X80" s="43">
        <f>SUM(IF((OR(G80="",H80="")),0,IF((H80&lt;G80),(((H80-G80)*1440)/24)+24,(H80-G80)*1440)/24)*24)/1440*24</f>
        <v/>
      </c>
      <c r="Y80" s="30">
        <f>R80</f>
        <v/>
      </c>
      <c r="Z80" s="30">
        <f>(N80+O80+P80+S80)</f>
        <v/>
      </c>
      <c r="AA80" s="42">
        <f>Q80+R80</f>
        <v/>
      </c>
      <c r="AB80" s="38">
        <f>N80+O80+P80+S80+X80+Y80</f>
        <v/>
      </c>
      <c r="AC80" s="11">
        <f>(W80-T80)*0.545</f>
        <v/>
      </c>
      <c r="AD80" s="76" t="n"/>
      <c r="AE80" s="16" t="n"/>
      <c r="AF80" s="17" t="n"/>
    </row>
    <row r="81">
      <c r="A81" s="13" t="n"/>
      <c r="B81" s="13" t="n"/>
      <c r="C81" s="13" t="n"/>
      <c r="D81" s="12" t="n"/>
      <c r="E81" s="12">
        <f>IFERROR(VLOOKUP(D81,Sheet3!A$1:B$50,2,FALSE),"")</f>
        <v/>
      </c>
      <c r="F81" s="143" t="n"/>
      <c r="G81" s="67" t="n"/>
      <c r="H81" s="68" t="n"/>
      <c r="I81" s="15" t="n"/>
      <c r="J81" s="15" t="n"/>
      <c r="K81" s="45" t="n"/>
      <c r="L81" s="12" t="n"/>
      <c r="M81" s="23" t="n"/>
      <c r="N81" s="46" t="n"/>
      <c r="O81" s="46" t="n"/>
      <c r="P81" s="46" t="n"/>
      <c r="Q81" s="53">
        <f>SUM(IF((OR(A81="Travel-PT",A81="Travel-FS-OH",A81="Travel-FS-IH")),(((((H81-G81)*1440)/24)*24)/1440*24),0))</f>
        <v/>
      </c>
      <c r="R81" s="47" t="n"/>
      <c r="S81" s="47" t="n"/>
      <c r="T81" s="29" t="n"/>
      <c r="U81" s="25" t="n"/>
      <c r="V81" s="24" t="n"/>
      <c r="W81" s="145">
        <f>V81-U81</f>
        <v/>
      </c>
      <c r="X81" s="43">
        <f>SUM(IF((OR(G81="",H81="")),0,IF((H81&lt;G81),(((H81-G81)*1440)/24)+24,(H81-G81)*1440)/24)*24)/1440*24</f>
        <v/>
      </c>
      <c r="Y81" s="30">
        <f>R81</f>
        <v/>
      </c>
      <c r="Z81" s="30">
        <f>(N81+O81+P81+S81)</f>
        <v/>
      </c>
      <c r="AA81" s="42">
        <f>Q81+R81</f>
        <v/>
      </c>
      <c r="AB81" s="38">
        <f>N81+O81+P81+S81+X81+Y81</f>
        <v/>
      </c>
      <c r="AC81" s="11">
        <f>(W81-T81)*0.545</f>
        <v/>
      </c>
      <c r="AD81" s="76" t="n"/>
      <c r="AE81" s="16" t="n"/>
      <c r="AF81" s="17" t="n"/>
    </row>
    <row r="82">
      <c r="A82" s="13" t="n"/>
      <c r="B82" s="13" t="n"/>
      <c r="C82" s="13" t="n"/>
      <c r="D82" s="12" t="n"/>
      <c r="E82" s="12">
        <f>IFERROR(VLOOKUP(D82,Sheet3!A$1:B$50,2,FALSE),"")</f>
        <v/>
      </c>
      <c r="F82" s="143" t="n"/>
      <c r="G82" s="67" t="n"/>
      <c r="H82" s="68" t="n"/>
      <c r="I82" s="15" t="n"/>
      <c r="J82" s="15" t="n"/>
      <c r="K82" s="45" t="n"/>
      <c r="L82" s="12" t="n"/>
      <c r="M82" s="23" t="n"/>
      <c r="N82" s="46" t="n"/>
      <c r="O82" s="46" t="n"/>
      <c r="P82" s="46" t="n"/>
      <c r="Q82" s="53">
        <f>SUM(IF((OR(A82="Travel-PT",A82="Travel-FS-OH",A82="Travel-FS-IH")),(((((H82-G82)*1440)/24)*24)/1440*24),0))</f>
        <v/>
      </c>
      <c r="R82" s="47" t="n"/>
      <c r="S82" s="47" t="n"/>
      <c r="T82" s="29" t="n"/>
      <c r="U82" s="25" t="n"/>
      <c r="V82" s="24" t="n"/>
      <c r="W82" s="145">
        <f>V82-U82</f>
        <v/>
      </c>
      <c r="X82" s="43">
        <f>SUM(IF((OR(G82="",H82="")),0,IF((H82&lt;G82),(((H82-G82)*1440)/24)+24,(H82-G82)*1440)/24)*24)/1440*24</f>
        <v/>
      </c>
      <c r="Y82" s="30">
        <f>R82</f>
        <v/>
      </c>
      <c r="Z82" s="30">
        <f>(N82+O82+P82+S82)</f>
        <v/>
      </c>
      <c r="AA82" s="42">
        <f>Q82+R82</f>
        <v/>
      </c>
      <c r="AB82" s="38">
        <f>N82+O82+P82+S82+X82+Y82</f>
        <v/>
      </c>
      <c r="AC82" s="11">
        <f>(W82-T82)*0.545</f>
        <v/>
      </c>
      <c r="AD82" s="76" t="n"/>
      <c r="AE82" s="16" t="n"/>
      <c r="AF82" s="17" t="n"/>
    </row>
    <row r="83">
      <c r="A83" s="13" t="n"/>
      <c r="B83" s="13" t="n"/>
      <c r="C83" s="13" t="n"/>
      <c r="D83" s="12" t="n"/>
      <c r="E83" s="12">
        <f>IFERROR(VLOOKUP(D83,Sheet3!A$1:B$50,2,FALSE),"")</f>
        <v/>
      </c>
      <c r="F83" s="143" t="n"/>
      <c r="G83" s="67" t="n"/>
      <c r="H83" s="68" t="n"/>
      <c r="I83" s="15" t="n"/>
      <c r="J83" s="15" t="n"/>
      <c r="K83" s="45" t="n"/>
      <c r="L83" s="12" t="n"/>
      <c r="M83" s="23" t="n"/>
      <c r="N83" s="46" t="n"/>
      <c r="O83" s="46" t="n"/>
      <c r="P83" s="46" t="n"/>
      <c r="Q83" s="53">
        <f>SUM(IF((OR(A83="Travel-PT",A83="Travel-FS-OH",A83="Travel-FS-IH")),(((((H83-G83)*1440)/24)*24)/1440*24),0))</f>
        <v/>
      </c>
      <c r="R83" s="47" t="n"/>
      <c r="S83" s="47" t="n"/>
      <c r="T83" s="29" t="n"/>
      <c r="U83" s="25" t="n"/>
      <c r="V83" s="24" t="n"/>
      <c r="W83" s="145">
        <f>V83-U83</f>
        <v/>
      </c>
      <c r="X83" s="43">
        <f>SUM(IF((OR(G83="",H83="")),0,IF((H83&lt;G83),(((H83-G83)*1440)/24)+24,(H83-G83)*1440)/24)*24)/1440*24</f>
        <v/>
      </c>
      <c r="Y83" s="30">
        <f>R83</f>
        <v/>
      </c>
      <c r="Z83" s="30">
        <f>(N83+O83+P83+S83)</f>
        <v/>
      </c>
      <c r="AA83" s="42">
        <f>Q83+R83</f>
        <v/>
      </c>
      <c r="AB83" s="38">
        <f>N83+O83+P83+S83+X83+Y83</f>
        <v/>
      </c>
      <c r="AC83" s="11">
        <f>(W83-T83)*0.545</f>
        <v/>
      </c>
      <c r="AD83" s="76" t="n"/>
      <c r="AE83" s="16" t="n"/>
      <c r="AF83" s="17" t="n"/>
    </row>
    <row r="84">
      <c r="A84" s="13" t="n"/>
      <c r="B84" s="13" t="n"/>
      <c r="C84" s="13" t="n"/>
      <c r="D84" s="12" t="n"/>
      <c r="E84" s="12">
        <f>IFERROR(VLOOKUP(D84,Sheet3!A$1:B$50,2,FALSE),"")</f>
        <v/>
      </c>
      <c r="F84" s="143" t="n"/>
      <c r="G84" s="67" t="n"/>
      <c r="H84" s="68" t="n"/>
      <c r="I84" s="15" t="n"/>
      <c r="J84" s="15" t="n"/>
      <c r="K84" s="45" t="n"/>
      <c r="L84" s="12" t="n"/>
      <c r="M84" s="23" t="n"/>
      <c r="N84" s="46" t="n"/>
      <c r="O84" s="46" t="n"/>
      <c r="P84" s="46" t="n"/>
      <c r="Q84" s="53">
        <f>SUM(IF((OR(A84="Travel-PT",A84="Travel-FS-OH",A84="Travel-FS-IH")),(((((H84-G84)*1440)/24)*24)/1440*24),0))</f>
        <v/>
      </c>
      <c r="R84" s="47" t="n"/>
      <c r="S84" s="47" t="n"/>
      <c r="T84" s="29" t="n"/>
      <c r="U84" s="25" t="n"/>
      <c r="V84" s="24" t="n"/>
      <c r="W84" s="145">
        <f>V84-U84</f>
        <v/>
      </c>
      <c r="X84" s="43">
        <f>SUM(IF((OR(G84="",H84="")),0,IF((H84&lt;G84),(((H84-G84)*1440)/24)+24,(H84-G84)*1440)/24)*24)/1440*24</f>
        <v/>
      </c>
      <c r="Y84" s="30">
        <f>R84</f>
        <v/>
      </c>
      <c r="Z84" s="30">
        <f>(N84+O84+P84+S84)</f>
        <v/>
      </c>
      <c r="AA84" s="42">
        <f>Q84+R84</f>
        <v/>
      </c>
      <c r="AB84" s="38">
        <f>N84+O84+P84+S84+X84+Y84</f>
        <v/>
      </c>
      <c r="AC84" s="11">
        <f>(W84-T84)*0.545</f>
        <v/>
      </c>
      <c r="AD84" s="76" t="n"/>
      <c r="AE84" s="16" t="n"/>
      <c r="AF84" s="17" t="n"/>
    </row>
    <row r="85">
      <c r="A85" s="13" t="n"/>
      <c r="B85" s="13" t="n"/>
      <c r="C85" s="13" t="n"/>
      <c r="D85" s="12" t="n"/>
      <c r="E85" s="12">
        <f>IFERROR(VLOOKUP(D85,Sheet3!A$1:B$50,2,FALSE),"")</f>
        <v/>
      </c>
      <c r="F85" s="143" t="n"/>
      <c r="G85" s="67" t="n"/>
      <c r="H85" s="68" t="n"/>
      <c r="I85" s="15" t="n"/>
      <c r="J85" s="15" t="n"/>
      <c r="K85" s="45" t="n"/>
      <c r="L85" s="12" t="n"/>
      <c r="M85" s="23" t="n"/>
      <c r="N85" s="46" t="n"/>
      <c r="O85" s="46" t="n"/>
      <c r="P85" s="46" t="n"/>
      <c r="Q85" s="53">
        <f>SUM(IF((OR(A85="Travel-PT",A85="Travel-FS-OH",A85="Travel-FS-IH")),(((((H85-G85)*1440)/24)*24)/1440*24),0))</f>
        <v/>
      </c>
      <c r="R85" s="47" t="n"/>
      <c r="S85" s="47" t="n"/>
      <c r="T85" s="29" t="n"/>
      <c r="U85" s="25" t="n"/>
      <c r="V85" s="24" t="n"/>
      <c r="W85" s="145">
        <f>V85-U85</f>
        <v/>
      </c>
      <c r="X85" s="43">
        <f>SUM(IF((OR(G85="",H85="")),0,IF((H85&lt;G85),(((H85-G85)*1440)/24)+24,(H85-G85)*1440)/24)*24)/1440*24</f>
        <v/>
      </c>
      <c r="Y85" s="30">
        <f>R85</f>
        <v/>
      </c>
      <c r="Z85" s="30">
        <f>(N85+O85+P85+S85)</f>
        <v/>
      </c>
      <c r="AA85" s="42">
        <f>Q85+R85</f>
        <v/>
      </c>
      <c r="AB85" s="38">
        <f>N85+O85+P85+S85+X85+Y85</f>
        <v/>
      </c>
      <c r="AC85" s="11">
        <f>(W85-T85)*0.545</f>
        <v/>
      </c>
      <c r="AD85" s="76" t="n"/>
      <c r="AE85" s="16" t="n"/>
      <c r="AF85" s="17" t="n"/>
    </row>
    <row r="86">
      <c r="A86" s="13" t="n"/>
      <c r="B86" s="13" t="n"/>
      <c r="C86" s="13" t="n"/>
      <c r="D86" s="12" t="n"/>
      <c r="E86" s="12">
        <f>IFERROR(VLOOKUP(D86,Sheet3!A$1:B$50,2,FALSE),"")</f>
        <v/>
      </c>
      <c r="F86" s="143" t="n"/>
      <c r="G86" s="67" t="n"/>
      <c r="H86" s="68" t="n"/>
      <c r="I86" s="15" t="n"/>
      <c r="J86" s="15" t="n"/>
      <c r="K86" s="45" t="n"/>
      <c r="L86" s="12" t="n"/>
      <c r="M86" s="23" t="n"/>
      <c r="N86" s="46" t="n"/>
      <c r="O86" s="46" t="n"/>
      <c r="P86" s="46" t="n"/>
      <c r="Q86" s="53">
        <f>SUM(IF((OR(A86="Travel-PT",A86="Travel-FS-OH",A86="Travel-FS-IH")),(((((H86-G86)*1440)/24)*24)/1440*24),0))</f>
        <v/>
      </c>
      <c r="R86" s="47" t="n"/>
      <c r="S86" s="47" t="n"/>
      <c r="T86" s="29" t="n"/>
      <c r="U86" s="25" t="n"/>
      <c r="V86" s="24" t="n"/>
      <c r="W86" s="145">
        <f>V86-U86</f>
        <v/>
      </c>
      <c r="X86" s="43">
        <f>SUM(IF((OR(G86="",H86="")),0,IF((H86&lt;G86),(((H86-G86)*1440)/24)+24,(H86-G86)*1440)/24)*24)/1440*24</f>
        <v/>
      </c>
      <c r="Y86" s="30">
        <f>R86</f>
        <v/>
      </c>
      <c r="Z86" s="30">
        <f>(N86+O86+P86+S86)</f>
        <v/>
      </c>
      <c r="AA86" s="42">
        <f>Q86+R86</f>
        <v/>
      </c>
      <c r="AB86" s="38">
        <f>N86+O86+P86+S86+X86+Y86</f>
        <v/>
      </c>
      <c r="AC86" s="11">
        <f>(W86-T86)*0.545</f>
        <v/>
      </c>
      <c r="AD86" s="76">
        <f>(28/1440*24)</f>
        <v/>
      </c>
      <c r="AE86" s="16" t="n">
        <v>28</v>
      </c>
      <c r="AF86" s="17" t="n">
        <v>0.5</v>
      </c>
    </row>
    <row r="87">
      <c r="A87" s="13" t="n"/>
      <c r="B87" s="13" t="n"/>
      <c r="C87" s="13" t="n"/>
      <c r="D87" s="12" t="n"/>
      <c r="E87" s="12">
        <f>IFERROR(VLOOKUP(D87,Sheet3!A$1:B$50,2,FALSE),"")</f>
        <v/>
      </c>
      <c r="F87" s="143" t="n"/>
      <c r="G87" s="67" t="n"/>
      <c r="H87" s="68" t="n"/>
      <c r="I87" s="15" t="n"/>
      <c r="J87" s="15" t="n"/>
      <c r="K87" s="45" t="n"/>
      <c r="L87" s="12" t="n"/>
      <c r="M87" s="23" t="n"/>
      <c r="N87" s="46" t="n"/>
      <c r="O87" s="46" t="n"/>
      <c r="P87" s="46" t="n"/>
      <c r="Q87" s="53">
        <f>SUM(IF((OR(A87="Travel-PT",A87="Travel-FS-OH",A87="Travel-FS-IH")),(((((H87-G87)*1440)/24)*24)/1440*24),0))</f>
        <v/>
      </c>
      <c r="R87" s="47" t="n"/>
      <c r="S87" s="47" t="n"/>
      <c r="T87" s="29" t="n"/>
      <c r="U87" s="25" t="n"/>
      <c r="V87" s="24" t="n"/>
      <c r="W87" s="145">
        <f>V87-U87</f>
        <v/>
      </c>
      <c r="X87" s="43">
        <f>SUM(IF((OR(G87="",H87="")),0,IF((H87&lt;G87),(((H87-G87)*1440)/24)+24,(H87-G87)*1440)/24)*24)/1440*24</f>
        <v/>
      </c>
      <c r="Y87" s="30">
        <f>R87</f>
        <v/>
      </c>
      <c r="Z87" s="30">
        <f>(N87+O87+P87+S87)</f>
        <v/>
      </c>
      <c r="AA87" s="42">
        <f>Q87+R87</f>
        <v/>
      </c>
      <c r="AB87" s="38">
        <f>N87+O87+P87+S87+X87+Y87</f>
        <v/>
      </c>
      <c r="AC87" s="11">
        <f>(W87-T87)*0.545</f>
        <v/>
      </c>
      <c r="AD87" s="76">
        <f>(29/1440*24)</f>
        <v/>
      </c>
      <c r="AE87" s="16" t="n">
        <v>29</v>
      </c>
      <c r="AF87" s="17" t="n">
        <v>0.5</v>
      </c>
    </row>
    <row r="88">
      <c r="A88" s="13" t="n"/>
      <c r="B88" s="13" t="n"/>
      <c r="C88" s="13" t="n"/>
      <c r="D88" s="12" t="n"/>
      <c r="E88" s="12">
        <f>IFERROR(VLOOKUP(D88,Sheet3!A$1:B$50,2,FALSE),"")</f>
        <v/>
      </c>
      <c r="F88" s="143" t="n"/>
      <c r="G88" s="67" t="n"/>
      <c r="H88" s="68" t="n"/>
      <c r="I88" s="15" t="n"/>
      <c r="J88" s="15" t="n"/>
      <c r="K88" s="45" t="n"/>
      <c r="L88" s="12" t="n"/>
      <c r="M88" s="23" t="n"/>
      <c r="N88" s="46" t="n"/>
      <c r="O88" s="46" t="n"/>
      <c r="P88" s="46" t="n"/>
      <c r="Q88" s="53">
        <f>SUM(IF((OR(A88="Travel-PT",A88="Travel-FS-OH",A88="Travel-FS-IH")),(((((H88-G88)*1440)/24)*24)/1440*24),0))</f>
        <v/>
      </c>
      <c r="R88" s="47" t="n"/>
      <c r="S88" s="47" t="n"/>
      <c r="T88" s="29" t="n"/>
      <c r="U88" s="25" t="n"/>
      <c r="V88" s="24" t="n"/>
      <c r="W88" s="145">
        <f>V88-U88</f>
        <v/>
      </c>
      <c r="X88" s="43">
        <f>SUM(IF((OR(G88="",H88="")),0,IF((H88&lt;G88),(((H88-G88)*1440)/24)+24,(H88-G88)*1440)/24)*24)/1440*24</f>
        <v/>
      </c>
      <c r="Y88" s="30">
        <f>R88</f>
        <v/>
      </c>
      <c r="Z88" s="30">
        <f>(N88+O88+P88+S88)</f>
        <v/>
      </c>
      <c r="AA88" s="42">
        <f>Q88+R88</f>
        <v/>
      </c>
      <c r="AB88" s="38">
        <f>N88+O88+P88+S88+X88+Y88</f>
        <v/>
      </c>
      <c r="AC88" s="11">
        <f>(W88-T88)*0.545</f>
        <v/>
      </c>
      <c r="AD88" s="76">
        <f>(30/1440*24)</f>
        <v/>
      </c>
      <c r="AE88" s="16" t="n">
        <v>30</v>
      </c>
      <c r="AF88" s="17" t="n">
        <v>0.5</v>
      </c>
    </row>
    <row r="89">
      <c r="A89" s="13" t="n"/>
      <c r="B89" s="13" t="n"/>
      <c r="C89" s="13" t="n"/>
      <c r="D89" s="12" t="n"/>
      <c r="E89" s="12">
        <f>IFERROR(VLOOKUP(D89,Sheet3!A$1:B$50,2,FALSE),"")</f>
        <v/>
      </c>
      <c r="F89" s="143" t="n"/>
      <c r="G89" s="67" t="n"/>
      <c r="H89" s="68" t="n"/>
      <c r="I89" s="15" t="n"/>
      <c r="J89" s="15" t="n"/>
      <c r="K89" s="45" t="n"/>
      <c r="L89" s="12" t="n"/>
      <c r="M89" s="23" t="n"/>
      <c r="N89" s="46" t="n"/>
      <c r="O89" s="46" t="n"/>
      <c r="P89" s="46" t="n"/>
      <c r="Q89" s="53">
        <f>SUM(IF((OR(A89="Travel-PT",A89="Travel-FS-OH",A89="Travel-FS-IH")),(((((H89-G89)*1440)/24)*24)/1440*24),0))</f>
        <v/>
      </c>
      <c r="R89" s="47" t="n"/>
      <c r="S89" s="47" t="n"/>
      <c r="T89" s="29" t="n"/>
      <c r="U89" s="25" t="n"/>
      <c r="V89" s="24" t="n"/>
      <c r="W89" s="145">
        <f>V89-U89</f>
        <v/>
      </c>
      <c r="X89" s="43">
        <f>SUM(IF((OR(G89="",H89="")),0,IF((H89&lt;G89),(((H89-G89)*1440)/24)+24,(H89-G89)*1440)/24)*24)/1440*24</f>
        <v/>
      </c>
      <c r="Y89" s="30">
        <f>R89</f>
        <v/>
      </c>
      <c r="Z89" s="30">
        <f>(N89+O89+P89+S89)</f>
        <v/>
      </c>
      <c r="AA89" s="42">
        <f>Q89+R89</f>
        <v/>
      </c>
      <c r="AB89" s="38">
        <f>N89+O89+P89+S89+X89+Y89</f>
        <v/>
      </c>
      <c r="AC89" s="11">
        <f>(W89-T89)*0.545</f>
        <v/>
      </c>
      <c r="AD89" s="76">
        <f>(31/1440*24)</f>
        <v/>
      </c>
      <c r="AE89" s="16" t="n">
        <v>31</v>
      </c>
      <c r="AF89" s="17" t="n">
        <v>0.75</v>
      </c>
    </row>
    <row r="90">
      <c r="A90" s="13" t="n"/>
      <c r="B90" s="13" t="n"/>
      <c r="C90" s="13" t="n"/>
      <c r="D90" s="12" t="n"/>
      <c r="E90" s="12">
        <f>IFERROR(VLOOKUP(D90,Sheet3!A$1:B$50,2,FALSE),"")</f>
        <v/>
      </c>
      <c r="F90" s="143" t="n"/>
      <c r="G90" s="67" t="n"/>
      <c r="H90" s="68" t="n"/>
      <c r="I90" s="15" t="n"/>
      <c r="J90" s="15" t="n"/>
      <c r="K90" s="45" t="n"/>
      <c r="L90" s="12" t="n"/>
      <c r="M90" s="23" t="n"/>
      <c r="N90" s="46" t="n"/>
      <c r="O90" s="46" t="n"/>
      <c r="P90" s="46" t="n"/>
      <c r="Q90" s="53">
        <f>SUM(IF((OR(A90="Travel-PT",A90="Travel-FS-OH",A90="Travel-FS-IH")),(((((H90-G90)*1440)/24)*24)/1440*24),0))</f>
        <v/>
      </c>
      <c r="R90" s="47" t="n"/>
      <c r="S90" s="47" t="n"/>
      <c r="T90" s="29" t="n"/>
      <c r="U90" s="25" t="n"/>
      <c r="V90" s="24" t="n"/>
      <c r="W90" s="145">
        <f>V90-U90</f>
        <v/>
      </c>
      <c r="X90" s="43">
        <f>SUM(IF((OR(G90="",H90="")),0,IF((H90&lt;G90),(((H90-G90)*1440)/24)+24,(H90-G90)*1440)/24)*24)/1440*24</f>
        <v/>
      </c>
      <c r="Y90" s="30">
        <f>R90</f>
        <v/>
      </c>
      <c r="Z90" s="30">
        <f>(N90+O90+P90+S90)</f>
        <v/>
      </c>
      <c r="AA90" s="42">
        <f>Q90+R90</f>
        <v/>
      </c>
      <c r="AB90" s="38">
        <f>N90+O90+P90+S90+X90+Y90</f>
        <v/>
      </c>
      <c r="AC90" s="11">
        <f>(W90-T90)*0.545</f>
        <v/>
      </c>
      <c r="AD90" s="76">
        <f>(32/1440*24)</f>
        <v/>
      </c>
      <c r="AE90" s="16" t="n">
        <v>32</v>
      </c>
      <c r="AF90" s="17" t="n">
        <v>0.75</v>
      </c>
    </row>
    <row r="91">
      <c r="A91" s="13" t="n"/>
      <c r="B91" s="13" t="n"/>
      <c r="C91" s="13" t="n"/>
      <c r="D91" s="12" t="n"/>
      <c r="E91" s="12">
        <f>IFERROR(VLOOKUP(D91,Sheet3!A$1:B$50,2,FALSE),"")</f>
        <v/>
      </c>
      <c r="F91" s="143" t="n"/>
      <c r="G91" s="67" t="n"/>
      <c r="H91" s="68" t="n"/>
      <c r="I91" s="15" t="n"/>
      <c r="J91" s="15" t="n"/>
      <c r="K91" s="45" t="n"/>
      <c r="L91" s="12" t="n"/>
      <c r="M91" s="23" t="n"/>
      <c r="N91" s="46" t="n"/>
      <c r="O91" s="46" t="n"/>
      <c r="P91" s="46" t="n"/>
      <c r="Q91" s="53">
        <f>SUM(IF((OR(A91="Travel-PT",A91="Travel-FS-OH",A91="Travel-FS-IH")),(((((H91-G91)*1440)/24)*24)/1440*24),0))</f>
        <v/>
      </c>
      <c r="R91" s="47" t="n"/>
      <c r="S91" s="47" t="n"/>
      <c r="T91" s="29" t="n"/>
      <c r="U91" s="25" t="n"/>
      <c r="V91" s="24" t="n"/>
      <c r="W91" s="145">
        <f>V91-U91</f>
        <v/>
      </c>
      <c r="X91" s="43">
        <f>SUM(IF((OR(G91="",H91="")),0,IF((H91&lt;G91),(((H91-G91)*1440)/24)+24,(H91-G91)*1440)/24)*24)/1440*24</f>
        <v/>
      </c>
      <c r="Y91" s="30">
        <f>R91</f>
        <v/>
      </c>
      <c r="Z91" s="30">
        <f>(N91+O91+P91+S91)</f>
        <v/>
      </c>
      <c r="AA91" s="42">
        <f>Q91+R91</f>
        <v/>
      </c>
      <c r="AB91" s="38">
        <f>N91+O91+P91+S91+X91+Y91</f>
        <v/>
      </c>
      <c r="AC91" s="11">
        <f>(W91-T91)*0.545</f>
        <v/>
      </c>
      <c r="AD91" s="76">
        <f>(33/1440*24)</f>
        <v/>
      </c>
      <c r="AE91" s="16" t="n">
        <v>33</v>
      </c>
      <c r="AF91" s="17" t="n">
        <v>0.75</v>
      </c>
    </row>
    <row r="92">
      <c r="A92" s="13" t="n"/>
      <c r="B92" s="13" t="n"/>
      <c r="C92" s="13" t="n"/>
      <c r="D92" s="51" t="n"/>
      <c r="E92" s="12">
        <f>IFERROR(VLOOKUP(D92,Sheet3!A$1:B$50,2,FALSE),"")</f>
        <v/>
      </c>
      <c r="F92" s="50" t="n"/>
      <c r="G92" s="67" t="n"/>
      <c r="H92" s="68" t="n"/>
      <c r="I92" s="51" t="n"/>
      <c r="J92" s="51" t="n"/>
      <c r="K92" s="52" t="n"/>
      <c r="L92" s="49" t="n"/>
      <c r="M92" s="49" t="n"/>
      <c r="N92" s="46" t="n"/>
      <c r="O92" s="46" t="n"/>
      <c r="P92" s="46" t="n"/>
      <c r="Q92" s="53">
        <f>SUM(IF((OR(A92="Travel-PT",A92="Travel-FS-OH",A92="Travel-FS-IH")),(((((H92-G92)*1440)/24)*24)/1440*24),0))</f>
        <v/>
      </c>
      <c r="R92" s="47" t="n"/>
      <c r="S92" s="47" t="n"/>
      <c r="T92" s="29" t="n"/>
      <c r="U92" s="25" t="n"/>
      <c r="V92" s="24" t="n"/>
      <c r="W92" s="145">
        <f>V92-U92</f>
        <v/>
      </c>
      <c r="X92" s="43">
        <f>SUM(IF((OR(G92="",H92="")),0,IF((H92&lt;G92),(((H92-G92)*1440)/24)+24,(H92-G92)*1440)/24)*24)/1440*24</f>
        <v/>
      </c>
      <c r="Y92" s="30">
        <f>R92</f>
        <v/>
      </c>
      <c r="Z92" s="30">
        <f>(N92+O92+P92+S92)</f>
        <v/>
      </c>
      <c r="AA92" s="42">
        <f>Q92+R92</f>
        <v/>
      </c>
      <c r="AB92" s="38">
        <f>N92+O92+P92+S92+X92+Y92</f>
        <v/>
      </c>
      <c r="AC92" s="11">
        <f>(W92-T92)*0.545</f>
        <v/>
      </c>
      <c r="AD92" s="76">
        <f>(34/1440*24)</f>
        <v/>
      </c>
      <c r="AE92" s="16" t="n">
        <v>34</v>
      </c>
      <c r="AF92" s="17" t="n">
        <v>0.75</v>
      </c>
    </row>
    <row r="93">
      <c r="A93" s="13" t="n"/>
      <c r="B93" s="13" t="n"/>
      <c r="C93" s="13" t="n"/>
      <c r="D93" s="12" t="n"/>
      <c r="E93" s="12">
        <f>IFERROR(VLOOKUP(D93,Sheet3!A$1:B$50,2,FALSE),"")</f>
        <v/>
      </c>
      <c r="F93" s="143" t="n"/>
      <c r="G93" s="67" t="n"/>
      <c r="H93" s="68" t="n"/>
      <c r="I93" s="15" t="n"/>
      <c r="J93" s="15" t="n"/>
      <c r="K93" s="45" t="n"/>
      <c r="L93" s="12" t="n"/>
      <c r="M93" s="23" t="n"/>
      <c r="N93" s="46" t="n"/>
      <c r="O93" s="46" t="n"/>
      <c r="P93" s="46" t="n"/>
      <c r="Q93" s="53">
        <f>SUM(IF((OR(A93="Travel-PT",A93="Travel-FS-OH",A93="Travel-FS-IH")),(((((H93-G93)*1440)/24)*24)/1440*24),0))</f>
        <v/>
      </c>
      <c r="R93" s="47" t="n"/>
      <c r="S93" s="47" t="n"/>
      <c r="T93" s="29" t="n"/>
      <c r="U93" s="25" t="n"/>
      <c r="V93" s="24" t="n"/>
      <c r="W93" s="145">
        <f>V93-U93</f>
        <v/>
      </c>
      <c r="X93" s="43">
        <f>SUM(IF((OR(G93="",H93="")),0,IF((H93&lt;G93),(((H93-G93)*1440)/24)+24,(H93-G93)*1440)/24)*24)/1440*24</f>
        <v/>
      </c>
      <c r="Y93" s="30">
        <f>R93</f>
        <v/>
      </c>
      <c r="Z93" s="30">
        <f>(N93+O93+P93+S93)</f>
        <v/>
      </c>
      <c r="AA93" s="42">
        <f>Q93+R93</f>
        <v/>
      </c>
      <c r="AB93" s="38">
        <f>N93+O93+P93+S93+X93+Y93</f>
        <v/>
      </c>
      <c r="AC93" s="11">
        <f>(W93-T93)*0.545</f>
        <v/>
      </c>
      <c r="AD93" s="76">
        <f>(35/1440*24)</f>
        <v/>
      </c>
      <c r="AE93" s="16" t="n">
        <v>35</v>
      </c>
      <c r="AF93" s="17" t="n">
        <v>0.75</v>
      </c>
    </row>
    <row r="94">
      <c r="A94" s="13" t="n"/>
      <c r="B94" s="13" t="n"/>
      <c r="C94" s="13" t="n"/>
      <c r="D94" s="12" t="n"/>
      <c r="E94" s="12">
        <f>IFERROR(VLOOKUP(D94,Sheet3!A$1:B$50,2,FALSE),"")</f>
        <v/>
      </c>
      <c r="F94" s="143" t="n"/>
      <c r="G94" s="67" t="n"/>
      <c r="H94" s="68" t="n"/>
      <c r="I94" s="15" t="n"/>
      <c r="J94" s="15" t="n"/>
      <c r="K94" s="45" t="n"/>
      <c r="L94" s="12" t="n"/>
      <c r="M94" s="23" t="n"/>
      <c r="N94" s="46" t="n"/>
      <c r="O94" s="46" t="n"/>
      <c r="P94" s="46" t="n"/>
      <c r="Q94" s="53">
        <f>SUM(IF((OR(A94="Travel-PT",A94="Travel-FS-OH",A94="Travel-FS-IH")),(((((H94-G94)*1440)/24)*24)/1440*24),0))</f>
        <v/>
      </c>
      <c r="R94" s="47" t="n"/>
      <c r="S94" s="47" t="n"/>
      <c r="T94" s="29" t="n"/>
      <c r="U94" s="25" t="n"/>
      <c r="V94" s="24" t="n"/>
      <c r="W94" s="145">
        <f>V94-U94</f>
        <v/>
      </c>
      <c r="X94" s="43">
        <f>SUM(IF((OR(G94="",H94="")),0,IF((H94&lt;G94),(((H94-G94)*1440)/24)+24,(H94-G94)*1440)/24)*24)/1440*24</f>
        <v/>
      </c>
      <c r="Y94" s="30">
        <f>R94</f>
        <v/>
      </c>
      <c r="Z94" s="30">
        <f>(N94+O94+P94+S94)</f>
        <v/>
      </c>
      <c r="AA94" s="42">
        <f>Q94+R94</f>
        <v/>
      </c>
      <c r="AB94" s="38">
        <f>N94+O94+P94+S94+X94+Y94</f>
        <v/>
      </c>
      <c r="AC94" s="11">
        <f>(W94-T94)*0.545</f>
        <v/>
      </c>
      <c r="AD94" s="76">
        <f>(36/1440*24)</f>
        <v/>
      </c>
      <c r="AE94" s="16" t="n">
        <v>36</v>
      </c>
      <c r="AF94" s="17" t="n">
        <v>0.75</v>
      </c>
    </row>
    <row r="95">
      <c r="A95" s="13" t="n"/>
      <c r="B95" s="13" t="n"/>
      <c r="C95" s="13" t="n"/>
      <c r="D95" s="12" t="n"/>
      <c r="E95" s="12">
        <f>IFERROR(VLOOKUP(D95,Sheet3!A$1:B$50,2,FALSE),"")</f>
        <v/>
      </c>
      <c r="F95" s="143" t="n"/>
      <c r="G95" s="67" t="n"/>
      <c r="H95" s="68" t="n"/>
      <c r="I95" s="15" t="n"/>
      <c r="J95" s="15" t="n"/>
      <c r="K95" s="45" t="n"/>
      <c r="L95" s="12" t="n"/>
      <c r="M95" s="23" t="n"/>
      <c r="N95" s="46" t="n"/>
      <c r="O95" s="46" t="n"/>
      <c r="P95" s="46" t="n"/>
      <c r="Q95" s="53">
        <f>SUM(IF((OR(A95="Travel-PT",A95="Travel-FS-OH",A95="Travel-FS-IH")),(((((H95-G95)*1440)/24)*24)/1440*24),0))</f>
        <v/>
      </c>
      <c r="R95" s="47" t="n"/>
      <c r="S95" s="47" t="n"/>
      <c r="T95" s="29" t="n"/>
      <c r="U95" s="25" t="n"/>
      <c r="V95" s="24" t="n"/>
      <c r="W95" s="145">
        <f>V95-U95</f>
        <v/>
      </c>
      <c r="X95" s="43">
        <f>SUM(IF((OR(G95="",H95="")),0,IF((H95&lt;G95),(((H95-G95)*1440)/24)+24,(H95-G95)*1440)/24)*24)/1440*24</f>
        <v/>
      </c>
      <c r="Y95" s="30">
        <f>R95</f>
        <v/>
      </c>
      <c r="Z95" s="30">
        <f>(N95+O95+P95+S95)</f>
        <v/>
      </c>
      <c r="AA95" s="42">
        <f>Q95+R95</f>
        <v/>
      </c>
      <c r="AB95" s="38">
        <f>N95+O95+P95+S95+X95+Y95</f>
        <v/>
      </c>
      <c r="AC95" s="11">
        <f>(W95-T95)*0.545</f>
        <v/>
      </c>
      <c r="AD95" s="76">
        <f>(37/1440*24)</f>
        <v/>
      </c>
      <c r="AE95" s="16" t="n">
        <v>37</v>
      </c>
      <c r="AF95" s="17" t="n">
        <v>0.75</v>
      </c>
    </row>
    <row r="96">
      <c r="A96" s="13" t="n"/>
      <c r="B96" s="13" t="n"/>
      <c r="C96" s="13" t="n"/>
      <c r="D96" s="12" t="n"/>
      <c r="E96" s="12">
        <f>IFERROR(VLOOKUP(D96,Sheet3!A$1:B$50,2,FALSE),"")</f>
        <v/>
      </c>
      <c r="F96" s="143" t="n"/>
      <c r="G96" s="67" t="n"/>
      <c r="H96" s="68" t="n"/>
      <c r="I96" s="15" t="n"/>
      <c r="J96" s="15" t="n"/>
      <c r="K96" s="45" t="n"/>
      <c r="L96" s="12" t="n"/>
      <c r="M96" s="23" t="n"/>
      <c r="N96" s="46" t="n"/>
      <c r="O96" s="46" t="n"/>
      <c r="P96" s="46" t="n"/>
      <c r="Q96" s="53">
        <f>SUM(IF((OR(A96="Travel-PT",A96="Travel-FS-OH",A96="Travel-FS-IH")),(((((H96-G96)*1440)/24)*24)/1440*24),0))</f>
        <v/>
      </c>
      <c r="R96" s="47" t="n"/>
      <c r="S96" s="47" t="n"/>
      <c r="T96" s="29" t="n"/>
      <c r="U96" s="25" t="n"/>
      <c r="V96" s="24" t="n"/>
      <c r="W96" s="145">
        <f>V96-U96</f>
        <v/>
      </c>
      <c r="X96" s="43">
        <f>SUM(IF((OR(G96="",H96="")),0,IF((H96&lt;G96),(((H96-G96)*1440)/24)+24,(H96-G96)*1440)/24)*24)/1440*24</f>
        <v/>
      </c>
      <c r="Y96" s="30">
        <f>R96</f>
        <v/>
      </c>
      <c r="Z96" s="30">
        <f>(N96+O96+P96+S96)</f>
        <v/>
      </c>
      <c r="AA96" s="42">
        <f>Q96+R96</f>
        <v/>
      </c>
      <c r="AB96" s="38">
        <f>N96+O96+P96+S96+X96+Y96</f>
        <v/>
      </c>
      <c r="AC96" s="11">
        <f>(W96-T96)*0.545</f>
        <v/>
      </c>
      <c r="AD96" s="76">
        <f>(38/1440*24)</f>
        <v/>
      </c>
      <c r="AE96" s="16" t="n">
        <v>38</v>
      </c>
      <c r="AF96" s="17" t="n">
        <v>0.75</v>
      </c>
    </row>
    <row r="97" ht="14" customHeight="1" thickBot="1">
      <c r="A97" s="54" t="n"/>
      <c r="B97" s="104" t="n"/>
      <c r="C97" s="13" t="n"/>
      <c r="D97" s="58" t="n"/>
      <c r="E97" s="12">
        <f>IFERROR(VLOOKUP(D97,Sheet3!A92:B119,2,FALSE),"")</f>
        <v/>
      </c>
      <c r="F97" s="147" t="n"/>
      <c r="G97" s="56" t="n"/>
      <c r="H97" s="57" t="n"/>
      <c r="I97" s="57" t="n"/>
      <c r="J97" s="57" t="n"/>
      <c r="K97" s="61">
        <f>SUM(K9:K96)</f>
        <v/>
      </c>
      <c r="L97" s="120" t="n"/>
      <c r="M97" s="59">
        <f>SUM(M9:M96)</f>
        <v/>
      </c>
      <c r="N97" s="60">
        <f>SUM(N9:N96)</f>
        <v/>
      </c>
      <c r="O97" s="61">
        <f>SUM(O9:O96)</f>
        <v/>
      </c>
      <c r="P97" s="61">
        <f>SUM(P9:P96)</f>
        <v/>
      </c>
      <c r="Q97" s="61">
        <f>SUM(Q9:Q96)</f>
        <v/>
      </c>
      <c r="R97" s="61">
        <f>SUM(R9:R96)</f>
        <v/>
      </c>
      <c r="S97" s="61">
        <f>SUM(S9:S96)</f>
        <v/>
      </c>
      <c r="T97" s="62">
        <f>SUM(T9:T96)</f>
        <v/>
      </c>
      <c r="U97" s="148">
        <f>SUM(U9:U96)</f>
        <v/>
      </c>
      <c r="V97" s="149">
        <f>SUM(V9:V96)</f>
        <v/>
      </c>
      <c r="W97" s="150">
        <f>SUM(W9:W96)</f>
        <v/>
      </c>
      <c r="X97" s="37">
        <f>SUM(X9:X96)</f>
        <v/>
      </c>
      <c r="Y97" s="39">
        <f>SUM(Y9:Y96)</f>
        <v/>
      </c>
      <c r="Z97" s="39">
        <f>SUM(Z9:Z96)</f>
        <v/>
      </c>
      <c r="AA97" s="40">
        <f>SUM(AA9:AA96)</f>
        <v/>
      </c>
      <c r="AB97" s="31">
        <f>SUM(AB9:AB96)</f>
        <v/>
      </c>
      <c r="AC97" s="18">
        <f>SUM(AC9:AC96)</f>
        <v/>
      </c>
      <c r="AD97" s="76">
        <f>(39/1440*24)</f>
        <v/>
      </c>
      <c r="AE97" s="16" t="n">
        <v>39</v>
      </c>
      <c r="AF97" s="17" t="n">
        <v>0.75</v>
      </c>
    </row>
    <row r="98">
      <c r="A98" s="3" t="n"/>
      <c r="B98" s="3" t="n"/>
      <c r="C98" s="3" t="n"/>
      <c r="D98" s="4" t="n"/>
      <c r="E98" s="3" t="n"/>
      <c r="F98" s="3" t="n"/>
      <c r="G98" s="4" t="n"/>
      <c r="H98" s="4" t="n"/>
      <c r="I98" s="4" t="n"/>
      <c r="J98" s="4" t="n"/>
      <c r="K98" s="4" t="n"/>
      <c r="L98" s="3" t="n"/>
      <c r="R98" s="7" t="n"/>
      <c r="S98" s="7" t="n"/>
      <c r="T98" s="7" t="n"/>
      <c r="U98" s="7" t="n"/>
      <c r="V98" s="7" t="n"/>
      <c r="W98" s="7" t="n"/>
      <c r="X98" s="151" t="n"/>
      <c r="Y98" s="151" t="n"/>
      <c r="Z98" s="151" t="n"/>
      <c r="AD98" s="76">
        <f>(40/1440*24)</f>
        <v/>
      </c>
      <c r="AE98" s="16" t="n">
        <v>40</v>
      </c>
      <c r="AF98" s="17" t="n">
        <v>0.75</v>
      </c>
    </row>
    <row r="99">
      <c r="AD99" s="76">
        <f>(41/1440*24)</f>
        <v/>
      </c>
      <c r="AE99" s="16" t="n">
        <v>41</v>
      </c>
      <c r="AF99" s="17" t="n">
        <v>0.75</v>
      </c>
    </row>
    <row r="100" ht="18" customHeight="1">
      <c r="M100" s="5" t="n"/>
      <c r="AD100" s="76">
        <f>(42/1440*24)</f>
        <v/>
      </c>
      <c r="AE100" s="16" t="n">
        <v>42</v>
      </c>
      <c r="AF100" s="17" t="n">
        <v>0.75</v>
      </c>
    </row>
    <row r="101" ht="18" customHeight="1">
      <c r="M101" s="6" t="n"/>
      <c r="AD101" s="76">
        <f>(43/1440*24)</f>
        <v/>
      </c>
      <c r="AE101" s="16" t="n">
        <v>43</v>
      </c>
      <c r="AF101" s="17" t="n">
        <v>0.75</v>
      </c>
    </row>
    <row r="102" ht="18" customHeight="1">
      <c r="M102" s="5" t="n"/>
      <c r="AD102" s="76">
        <f>(44/1440*24)</f>
        <v/>
      </c>
      <c r="AE102" s="16" t="n">
        <v>44</v>
      </c>
      <c r="AF102" s="17" t="n">
        <v>0.75</v>
      </c>
    </row>
    <row r="103" ht="18" customHeight="1">
      <c r="M103" s="6" t="n"/>
      <c r="AD103" s="76">
        <f>(45/1440*24)</f>
        <v/>
      </c>
      <c r="AE103" s="16" t="n">
        <v>45</v>
      </c>
      <c r="AF103" s="17" t="n">
        <v>0.75</v>
      </c>
    </row>
    <row r="104" ht="18" customHeight="1">
      <c r="M104" s="5" t="n"/>
      <c r="AD104" s="76">
        <f>(46/1440*24)</f>
        <v/>
      </c>
      <c r="AE104" s="16" t="n">
        <v>46</v>
      </c>
      <c r="AF104" s="17" t="n">
        <v>1</v>
      </c>
    </row>
    <row r="105" ht="18" customHeight="1">
      <c r="M105" s="6" t="n"/>
      <c r="AD105" s="76">
        <f>(47/1440*24)</f>
        <v/>
      </c>
      <c r="AE105" s="16" t="n">
        <v>47</v>
      </c>
      <c r="AF105" s="17" t="n">
        <v>1</v>
      </c>
    </row>
    <row r="106" ht="18" customHeight="1">
      <c r="M106" s="5" t="n"/>
      <c r="Q106" s="5" t="n"/>
      <c r="R106" s="5" t="n"/>
      <c r="S106" s="5" t="n"/>
      <c r="T106" s="5" t="n"/>
      <c r="U106" s="5" t="n"/>
      <c r="V106" s="5" t="n"/>
      <c r="W106" s="5" t="n"/>
      <c r="AD106" s="76">
        <f>(48/1440*24)</f>
        <v/>
      </c>
      <c r="AE106" s="16" t="n">
        <v>48</v>
      </c>
      <c r="AF106" s="17" t="n">
        <v>1</v>
      </c>
    </row>
    <row r="107">
      <c r="AD107" s="76">
        <f>(49/1440*24)</f>
        <v/>
      </c>
      <c r="AE107" s="16" t="n">
        <v>49</v>
      </c>
      <c r="AF107" s="17" t="n">
        <v>1</v>
      </c>
    </row>
    <row r="108">
      <c r="AD108" s="76">
        <f>(50/1440*24)</f>
        <v/>
      </c>
      <c r="AE108" s="16" t="n">
        <v>50</v>
      </c>
      <c r="AF108" s="17" t="n">
        <v>1</v>
      </c>
    </row>
    <row r="109">
      <c r="AD109" s="76">
        <f>(51/1440*24)</f>
        <v/>
      </c>
      <c r="AE109" s="16" t="n">
        <v>51</v>
      </c>
      <c r="AF109" s="17" t="n">
        <v>1</v>
      </c>
    </row>
    <row r="110">
      <c r="AD110" s="76">
        <f>(52/1440*24)</f>
        <v/>
      </c>
      <c r="AE110" s="16" t="n">
        <v>52</v>
      </c>
      <c r="AF110" s="17" t="n">
        <v>1</v>
      </c>
    </row>
    <row r="111">
      <c r="AD111" s="76">
        <f>(53/1440*24)</f>
        <v/>
      </c>
      <c r="AE111" s="16" t="n">
        <v>53</v>
      </c>
      <c r="AF111" s="17" t="n">
        <v>1</v>
      </c>
    </row>
    <row r="112">
      <c r="AD112" s="76">
        <f>(54/1440*24)</f>
        <v/>
      </c>
      <c r="AE112" s="16" t="n">
        <v>54</v>
      </c>
      <c r="AF112" s="17" t="n">
        <v>1</v>
      </c>
    </row>
    <row r="113">
      <c r="AD113" s="76">
        <f>(55/1440*24)</f>
        <v/>
      </c>
      <c r="AE113" s="16" t="n">
        <v>55</v>
      </c>
      <c r="AF113" s="17" t="n">
        <v>1</v>
      </c>
    </row>
    <row r="114">
      <c r="AD114" s="76">
        <f>(56/1440*24)</f>
        <v/>
      </c>
      <c r="AE114" s="16" t="n">
        <v>56</v>
      </c>
      <c r="AF114" s="17" t="n">
        <v>1</v>
      </c>
    </row>
    <row r="115">
      <c r="AD115" s="76">
        <f>(57/1440*24)</f>
        <v/>
      </c>
      <c r="AE115" s="16" t="n">
        <v>57</v>
      </c>
      <c r="AF115" s="17" t="n">
        <v>1</v>
      </c>
    </row>
    <row r="116">
      <c r="AD116" s="76">
        <f>(58/1440*24)</f>
        <v/>
      </c>
      <c r="AE116" s="16" t="n">
        <v>58</v>
      </c>
      <c r="AF116" s="17" t="n">
        <v>1</v>
      </c>
    </row>
    <row r="117">
      <c r="AD117" s="76">
        <f>(59/1440*24)</f>
        <v/>
      </c>
      <c r="AE117" s="16" t="n">
        <v>59</v>
      </c>
      <c r="AF117" s="17" t="n">
        <v>1</v>
      </c>
    </row>
    <row r="118">
      <c r="AD118" s="76">
        <f>(60/1440*24)</f>
        <v/>
      </c>
      <c r="AE118" s="16" t="n">
        <v>60</v>
      </c>
      <c r="AF118" s="17" t="n">
        <v>1</v>
      </c>
    </row>
    <row r="119">
      <c r="AD119" s="76">
        <f>(61/1440*24)</f>
        <v/>
      </c>
      <c r="AE119" s="16" t="n">
        <v>61</v>
      </c>
      <c r="AF119" s="17" t="n">
        <v>1.25</v>
      </c>
    </row>
    <row r="120">
      <c r="AD120" s="76">
        <f>(62/1440*24)</f>
        <v/>
      </c>
      <c r="AE120" s="16" t="n">
        <v>62</v>
      </c>
      <c r="AF120" s="17" t="n">
        <v>1.25</v>
      </c>
    </row>
    <row r="121">
      <c r="AD121" s="76">
        <f>(63/1440*24)</f>
        <v/>
      </c>
      <c r="AE121" s="16" t="n">
        <v>63</v>
      </c>
      <c r="AF121" s="17" t="n">
        <v>1.25</v>
      </c>
    </row>
    <row r="122">
      <c r="AD122" s="76">
        <f>(64/1440*24)</f>
        <v/>
      </c>
      <c r="AE122" s="16" t="n">
        <v>64</v>
      </c>
      <c r="AF122" s="17" t="n">
        <v>1.25</v>
      </c>
    </row>
    <row r="123">
      <c r="AD123" s="76">
        <f>(65/1440*24)</f>
        <v/>
      </c>
      <c r="AE123" s="16" t="n">
        <v>65</v>
      </c>
      <c r="AF123" s="17" t="n">
        <v>1.25</v>
      </c>
    </row>
    <row r="124">
      <c r="AD124" s="76">
        <f>(66/1440*24)</f>
        <v/>
      </c>
      <c r="AE124" s="16" t="n">
        <v>66</v>
      </c>
      <c r="AF124" s="17" t="n">
        <v>1.25</v>
      </c>
    </row>
    <row r="125">
      <c r="AD125" s="76">
        <f>(67/1440*24)</f>
        <v/>
      </c>
      <c r="AE125" s="16" t="n">
        <v>67</v>
      </c>
      <c r="AF125" s="17" t="n">
        <v>1.25</v>
      </c>
    </row>
    <row r="126">
      <c r="AD126" s="76">
        <f>(68/1440*24)</f>
        <v/>
      </c>
      <c r="AE126" s="16" t="n">
        <v>68</v>
      </c>
      <c r="AF126" s="17" t="n">
        <v>1.25</v>
      </c>
    </row>
    <row r="127">
      <c r="AD127" s="76">
        <f>(69/1440*24)</f>
        <v/>
      </c>
      <c r="AE127" s="16" t="n">
        <v>69</v>
      </c>
      <c r="AF127" s="17" t="n">
        <v>1.25</v>
      </c>
    </row>
    <row r="128">
      <c r="AD128" s="76">
        <f>(70/1440*24)</f>
        <v/>
      </c>
      <c r="AE128" s="16" t="n">
        <v>70</v>
      </c>
      <c r="AF128" s="17" t="n">
        <v>1.25</v>
      </c>
    </row>
    <row r="129">
      <c r="AD129" s="76">
        <f>(71/1440*24)</f>
        <v/>
      </c>
      <c r="AE129" s="16" t="n">
        <v>71</v>
      </c>
      <c r="AF129" s="17" t="n">
        <v>1.25</v>
      </c>
    </row>
    <row r="130">
      <c r="AD130" s="76">
        <f>(72/1440*24)</f>
        <v/>
      </c>
      <c r="AE130" s="16" t="n">
        <v>72</v>
      </c>
      <c r="AF130" s="17" t="n">
        <v>1.25</v>
      </c>
    </row>
    <row r="131">
      <c r="AD131" s="76">
        <f>(73/1440*24)</f>
        <v/>
      </c>
      <c r="AE131" s="16" t="n">
        <v>73</v>
      </c>
      <c r="AF131" s="17" t="n">
        <v>1.25</v>
      </c>
    </row>
    <row r="132">
      <c r="AD132" s="76">
        <f>(74/1440*24)</f>
        <v/>
      </c>
      <c r="AE132" s="16" t="n">
        <v>74</v>
      </c>
      <c r="AF132" s="17" t="n">
        <v>1.25</v>
      </c>
    </row>
    <row r="133">
      <c r="AD133" s="76">
        <f>(75/1440*24)</f>
        <v/>
      </c>
      <c r="AE133" s="16" t="n">
        <v>75</v>
      </c>
      <c r="AF133" s="17" t="n">
        <v>1.25</v>
      </c>
    </row>
    <row r="134">
      <c r="AD134" s="76">
        <f>(76/1440*24)</f>
        <v/>
      </c>
      <c r="AE134" s="16" t="n">
        <v>76</v>
      </c>
      <c r="AF134" s="17" t="n">
        <v>1.5</v>
      </c>
    </row>
    <row r="135">
      <c r="AD135" s="76">
        <f>(77/1440*24)</f>
        <v/>
      </c>
      <c r="AE135" s="16" t="n">
        <v>77</v>
      </c>
      <c r="AF135" s="17" t="n">
        <v>1.5</v>
      </c>
    </row>
    <row r="136">
      <c r="AD136" s="76">
        <f>(78/1440*24)</f>
        <v/>
      </c>
      <c r="AE136" s="16" t="n">
        <v>78</v>
      </c>
      <c r="AF136" s="17" t="n">
        <v>1.5</v>
      </c>
    </row>
    <row r="137">
      <c r="AD137" s="76">
        <f>(79/1440*24)</f>
        <v/>
      </c>
      <c r="AE137" s="16" t="n">
        <v>79</v>
      </c>
      <c r="AF137" s="17" t="n">
        <v>1.5</v>
      </c>
    </row>
    <row r="138">
      <c r="AD138" s="76">
        <f>(80/1440*24)</f>
        <v/>
      </c>
      <c r="AE138" s="16" t="n">
        <v>80</v>
      </c>
      <c r="AF138" s="17" t="n">
        <v>1.5</v>
      </c>
    </row>
    <row r="139">
      <c r="AD139" s="76">
        <f>(81/1440*24)</f>
        <v/>
      </c>
      <c r="AE139" s="16" t="n">
        <v>81</v>
      </c>
      <c r="AF139" s="17" t="n">
        <v>1.5</v>
      </c>
    </row>
    <row r="140">
      <c r="AD140" s="76">
        <f>(82/1440*24)</f>
        <v/>
      </c>
      <c r="AE140" s="16" t="n">
        <v>82</v>
      </c>
      <c r="AF140" s="17" t="n">
        <v>1.5</v>
      </c>
    </row>
    <row r="141">
      <c r="AD141" s="76">
        <f>(83/1440*24)</f>
        <v/>
      </c>
      <c r="AE141" s="16" t="n">
        <v>83</v>
      </c>
      <c r="AF141" s="17" t="n">
        <v>1.5</v>
      </c>
    </row>
    <row r="142">
      <c r="AD142" s="76">
        <f>(84/1440*24)</f>
        <v/>
      </c>
      <c r="AE142" s="16" t="n">
        <v>84</v>
      </c>
      <c r="AF142" s="17" t="n">
        <v>1.5</v>
      </c>
    </row>
    <row r="143">
      <c r="AD143" s="76">
        <f>(85/1440*24)</f>
        <v/>
      </c>
      <c r="AE143" s="16" t="n">
        <v>85</v>
      </c>
      <c r="AF143" s="17" t="n">
        <v>1.5</v>
      </c>
    </row>
    <row r="144">
      <c r="AD144" s="76">
        <f>(86/1440*24)</f>
        <v/>
      </c>
      <c r="AE144" s="16" t="n">
        <v>86</v>
      </c>
      <c r="AF144" s="17" t="n">
        <v>1.5</v>
      </c>
    </row>
    <row r="145">
      <c r="AD145" s="76">
        <f>(87/1440*24)</f>
        <v/>
      </c>
      <c r="AE145" s="16" t="n">
        <v>87</v>
      </c>
      <c r="AF145" s="17" t="n">
        <v>1.5</v>
      </c>
    </row>
    <row r="146">
      <c r="AD146" s="76">
        <f>(88/1440*24)</f>
        <v/>
      </c>
      <c r="AE146" s="16" t="n">
        <v>88</v>
      </c>
      <c r="AF146" s="17" t="n">
        <v>1.5</v>
      </c>
    </row>
    <row r="147">
      <c r="AD147" s="76">
        <f>(89/1440*24)</f>
        <v/>
      </c>
      <c r="AE147" s="16" t="n">
        <v>89</v>
      </c>
      <c r="AF147" s="17" t="n">
        <v>1.5</v>
      </c>
    </row>
    <row r="148">
      <c r="AD148" s="76">
        <f>(90/1440*24)</f>
        <v/>
      </c>
      <c r="AE148" s="16" t="n">
        <v>90</v>
      </c>
      <c r="AF148" s="17" t="n">
        <v>1.5</v>
      </c>
    </row>
    <row r="149">
      <c r="AD149" s="76">
        <f>(91/1440*24)</f>
        <v/>
      </c>
      <c r="AE149" s="16" t="n">
        <v>91</v>
      </c>
      <c r="AF149" s="17" t="n">
        <v>1.75</v>
      </c>
    </row>
    <row r="150">
      <c r="AD150" s="76">
        <f>(92/1440*24)</f>
        <v/>
      </c>
      <c r="AE150" s="16" t="n">
        <v>92</v>
      </c>
      <c r="AF150" s="17" t="n">
        <v>1.75</v>
      </c>
    </row>
    <row r="151">
      <c r="AD151" s="76">
        <f>(93/1440*24)</f>
        <v/>
      </c>
      <c r="AE151" s="16" t="n">
        <v>93</v>
      </c>
      <c r="AF151" s="17" t="n">
        <v>1.75</v>
      </c>
    </row>
    <row r="152">
      <c r="AD152" s="76">
        <f>(94/1440*24)</f>
        <v/>
      </c>
      <c r="AE152" s="16" t="n">
        <v>94</v>
      </c>
      <c r="AF152" s="17" t="n">
        <v>1.75</v>
      </c>
    </row>
    <row r="153">
      <c r="AD153" s="76">
        <f>(95/1440*24)</f>
        <v/>
      </c>
      <c r="AE153" s="16" t="n">
        <v>95</v>
      </c>
      <c r="AF153" s="17" t="n">
        <v>1.75</v>
      </c>
    </row>
    <row r="154">
      <c r="AD154" s="76">
        <f>(96/1440*24)</f>
        <v/>
      </c>
      <c r="AE154" s="16" t="n">
        <v>96</v>
      </c>
      <c r="AF154" s="17" t="n">
        <v>1.75</v>
      </c>
    </row>
    <row r="155">
      <c r="AD155" s="76">
        <f>(97/1440*24)</f>
        <v/>
      </c>
      <c r="AE155" s="16" t="n">
        <v>97</v>
      </c>
      <c r="AF155" s="17" t="n">
        <v>1.75</v>
      </c>
    </row>
    <row r="156">
      <c r="AD156" s="76">
        <f>(98/1440*24)</f>
        <v/>
      </c>
      <c r="AE156" s="16" t="n">
        <v>98</v>
      </c>
      <c r="AF156" s="17" t="n">
        <v>1.75</v>
      </c>
    </row>
    <row r="157">
      <c r="AD157" s="76">
        <f>(99/1440*24)</f>
        <v/>
      </c>
      <c r="AE157" s="16" t="n">
        <v>99</v>
      </c>
      <c r="AF157" s="17" t="n">
        <v>1.75</v>
      </c>
    </row>
    <row r="158">
      <c r="AD158" s="76">
        <f>(100/1440*24)</f>
        <v/>
      </c>
      <c r="AE158" s="16" t="n">
        <v>100</v>
      </c>
      <c r="AF158" s="17" t="n">
        <v>1.75</v>
      </c>
    </row>
    <row r="159">
      <c r="AD159" s="76">
        <f>(101/1440*24)</f>
        <v/>
      </c>
      <c r="AE159" s="16" t="n">
        <v>101</v>
      </c>
      <c r="AF159" s="17" t="n">
        <v>1.75</v>
      </c>
    </row>
    <row r="160">
      <c r="AD160" s="76">
        <f>(102/1440*24)</f>
        <v/>
      </c>
      <c r="AE160" s="16" t="n">
        <v>102</v>
      </c>
      <c r="AF160" s="17" t="n">
        <v>1.75</v>
      </c>
    </row>
    <row r="161">
      <c r="AD161" s="76">
        <f>(103/1440*24)</f>
        <v/>
      </c>
      <c r="AE161" s="16" t="n">
        <v>103</v>
      </c>
      <c r="AF161" s="17" t="n">
        <v>1.75</v>
      </c>
    </row>
    <row r="162">
      <c r="AD162" s="76">
        <f>(104/1440*24)</f>
        <v/>
      </c>
      <c r="AE162" s="16" t="n">
        <v>104</v>
      </c>
      <c r="AF162" s="17" t="n">
        <v>1.75</v>
      </c>
    </row>
    <row r="163">
      <c r="AD163" s="76">
        <f>(105/1440*24)</f>
        <v/>
      </c>
      <c r="AE163" s="16" t="n">
        <v>105</v>
      </c>
      <c r="AF163" s="17" t="n">
        <v>1.75</v>
      </c>
    </row>
    <row r="164">
      <c r="AD164" s="76">
        <f>(106/1440*24)</f>
        <v/>
      </c>
      <c r="AE164" s="16" t="n">
        <v>106</v>
      </c>
      <c r="AF164" s="17" t="n">
        <v>2</v>
      </c>
    </row>
    <row r="165">
      <c r="AD165" s="76">
        <f>(107/1440*24)</f>
        <v/>
      </c>
      <c r="AE165" s="16" t="n">
        <v>107</v>
      </c>
      <c r="AF165" s="17" t="n">
        <v>2</v>
      </c>
    </row>
    <row r="166">
      <c r="AD166" s="76">
        <f>(108/1440*24)</f>
        <v/>
      </c>
      <c r="AE166" s="16" t="n">
        <v>108</v>
      </c>
      <c r="AF166" s="17" t="n">
        <v>2</v>
      </c>
    </row>
    <row r="167">
      <c r="AD167" s="76">
        <f>(109/1440*24)</f>
        <v/>
      </c>
      <c r="AE167" s="16" t="n">
        <v>109</v>
      </c>
      <c r="AF167" s="17" t="n">
        <v>2</v>
      </c>
    </row>
    <row r="168">
      <c r="AD168" s="76">
        <f>(110/1440*24)</f>
        <v/>
      </c>
      <c r="AE168" s="16" t="n">
        <v>110</v>
      </c>
      <c r="AF168" s="17" t="n">
        <v>2</v>
      </c>
    </row>
    <row r="169">
      <c r="AD169" s="76">
        <f>(111/1440*24)</f>
        <v/>
      </c>
      <c r="AE169" s="16" t="n">
        <v>111</v>
      </c>
      <c r="AF169" s="17" t="n">
        <v>2</v>
      </c>
    </row>
    <row r="170">
      <c r="AD170" s="76">
        <f>(112/1440*24)</f>
        <v/>
      </c>
      <c r="AE170" s="16" t="n">
        <v>112</v>
      </c>
      <c r="AF170" s="17" t="n">
        <v>2</v>
      </c>
    </row>
    <row r="171">
      <c r="AD171" s="76">
        <f>(113/1440*24)</f>
        <v/>
      </c>
      <c r="AE171" s="16" t="n">
        <v>113</v>
      </c>
      <c r="AF171" s="17" t="n">
        <v>2</v>
      </c>
    </row>
    <row r="172">
      <c r="AD172" s="76">
        <f>(114/1440*24)</f>
        <v/>
      </c>
      <c r="AE172" s="16" t="n">
        <v>114</v>
      </c>
      <c r="AF172" s="17" t="n">
        <v>2</v>
      </c>
    </row>
    <row r="173">
      <c r="AD173" s="76">
        <f>(115/1440*24)</f>
        <v/>
      </c>
      <c r="AE173" s="16" t="n">
        <v>115</v>
      </c>
      <c r="AF173" s="17" t="n">
        <v>2</v>
      </c>
    </row>
    <row r="174">
      <c r="AD174" s="76">
        <f>(116/1440*24)</f>
        <v/>
      </c>
      <c r="AE174" s="16" t="n">
        <v>116</v>
      </c>
      <c r="AF174" s="17" t="n">
        <v>2</v>
      </c>
    </row>
    <row r="175">
      <c r="AD175" s="76">
        <f>(117/1440*24)</f>
        <v/>
      </c>
      <c r="AE175" s="16" t="n">
        <v>117</v>
      </c>
      <c r="AF175" s="17" t="n">
        <v>2</v>
      </c>
    </row>
    <row r="176">
      <c r="AD176" s="76">
        <f>(118/1440*24)</f>
        <v/>
      </c>
      <c r="AE176" s="16" t="n">
        <v>118</v>
      </c>
      <c r="AF176" s="17" t="n">
        <v>2</v>
      </c>
    </row>
    <row r="177">
      <c r="AD177" s="76">
        <f>(119/1440*24)</f>
        <v/>
      </c>
      <c r="AE177" s="16" t="n">
        <v>119</v>
      </c>
      <c r="AF177" s="17" t="n">
        <v>2</v>
      </c>
    </row>
    <row r="178">
      <c r="AD178" s="76">
        <f>(120/1440*24)</f>
        <v/>
      </c>
      <c r="AE178" s="16" t="n">
        <v>120</v>
      </c>
      <c r="AF178" s="17" t="n">
        <v>2</v>
      </c>
    </row>
    <row r="179">
      <c r="AD179" s="76">
        <f>(121/1440*24)</f>
        <v/>
      </c>
      <c r="AE179" s="16" t="n">
        <v>121</v>
      </c>
      <c r="AF179" s="17" t="n">
        <v>2.25</v>
      </c>
    </row>
    <row r="180">
      <c r="AD180" s="76">
        <f>(122/1440*24)</f>
        <v/>
      </c>
      <c r="AE180" s="16" t="n">
        <v>122</v>
      </c>
      <c r="AF180" s="17" t="n">
        <v>2.25</v>
      </c>
    </row>
    <row r="181">
      <c r="AD181" s="76">
        <f>(123/1440*24)</f>
        <v/>
      </c>
      <c r="AE181" s="16" t="n">
        <v>123</v>
      </c>
      <c r="AF181" s="17" t="n">
        <v>2.25</v>
      </c>
    </row>
    <row r="182">
      <c r="AD182" s="76">
        <f>(124/1440*24)</f>
        <v/>
      </c>
      <c r="AE182" s="16" t="n">
        <v>124</v>
      </c>
      <c r="AF182" s="17" t="n">
        <v>2.25</v>
      </c>
    </row>
    <row r="183">
      <c r="AD183" s="76">
        <f>(125/1440*24)</f>
        <v/>
      </c>
      <c r="AE183" s="16" t="n">
        <v>125</v>
      </c>
      <c r="AF183" s="17" t="n">
        <v>2.25</v>
      </c>
    </row>
    <row r="184">
      <c r="AD184" s="76">
        <f>(126/1440*24)</f>
        <v/>
      </c>
      <c r="AE184" s="16" t="n">
        <v>126</v>
      </c>
      <c r="AF184" s="17" t="n">
        <v>2.25</v>
      </c>
    </row>
    <row r="185">
      <c r="AD185" s="76">
        <f>(127/1440*24)</f>
        <v/>
      </c>
      <c r="AE185" s="16" t="n">
        <v>127</v>
      </c>
      <c r="AF185" s="17" t="n">
        <v>2.25</v>
      </c>
    </row>
    <row r="186">
      <c r="AD186" s="76">
        <f>(128/1440*24)</f>
        <v/>
      </c>
      <c r="AE186" s="16" t="n">
        <v>128</v>
      </c>
      <c r="AF186" s="17" t="n">
        <v>2.25</v>
      </c>
    </row>
    <row r="187">
      <c r="AD187" s="76">
        <f>(129/1440*24)</f>
        <v/>
      </c>
      <c r="AE187" s="16" t="n">
        <v>129</v>
      </c>
      <c r="AF187" s="17" t="n">
        <v>2.25</v>
      </c>
    </row>
    <row r="188">
      <c r="AD188" s="76">
        <f>(130/1440*24)</f>
        <v/>
      </c>
      <c r="AE188" s="16" t="n">
        <v>130</v>
      </c>
      <c r="AF188" s="17" t="n">
        <v>2.25</v>
      </c>
    </row>
    <row r="189">
      <c r="AD189" s="76">
        <f>(131/1440*24)</f>
        <v/>
      </c>
      <c r="AE189" s="16" t="n">
        <v>131</v>
      </c>
      <c r="AF189" s="17" t="n">
        <v>2.25</v>
      </c>
    </row>
    <row r="190">
      <c r="AD190" s="76">
        <f>(132/1440*24)</f>
        <v/>
      </c>
      <c r="AE190" s="16" t="n">
        <v>132</v>
      </c>
      <c r="AF190" s="17" t="n">
        <v>2.25</v>
      </c>
    </row>
    <row r="191">
      <c r="AD191" s="76">
        <f>(133/1440*24)</f>
        <v/>
      </c>
      <c r="AE191" s="16" t="n">
        <v>133</v>
      </c>
      <c r="AF191" s="17" t="n">
        <v>2.25</v>
      </c>
    </row>
    <row r="192">
      <c r="AD192" s="76">
        <f>(134/1440*24)</f>
        <v/>
      </c>
      <c r="AE192" s="16" t="n">
        <v>134</v>
      </c>
      <c r="AF192" s="17" t="n">
        <v>2.25</v>
      </c>
    </row>
    <row r="193">
      <c r="AD193" s="76">
        <f>(135/1440*24)</f>
        <v/>
      </c>
      <c r="AE193" s="16" t="n">
        <v>135</v>
      </c>
      <c r="AF193" s="17" t="n">
        <v>2.25</v>
      </c>
    </row>
    <row r="194">
      <c r="AD194" s="76">
        <f>(136/1440*24)</f>
        <v/>
      </c>
      <c r="AE194" s="16" t="n">
        <v>136</v>
      </c>
      <c r="AF194" s="17" t="n">
        <v>2.5</v>
      </c>
    </row>
    <row r="195">
      <c r="AD195" s="76">
        <f>(137/1440*24)</f>
        <v/>
      </c>
      <c r="AE195" s="16" t="n">
        <v>137</v>
      </c>
      <c r="AF195" s="17" t="n">
        <v>2.5</v>
      </c>
    </row>
    <row r="196">
      <c r="AD196" s="76">
        <f>(138/1440*24)</f>
        <v/>
      </c>
      <c r="AE196" s="16" t="n">
        <v>138</v>
      </c>
      <c r="AF196" s="17" t="n">
        <v>2.5</v>
      </c>
    </row>
    <row r="197">
      <c r="AD197" s="76">
        <f>(139/1440*24)</f>
        <v/>
      </c>
      <c r="AE197" s="16" t="n">
        <v>139</v>
      </c>
      <c r="AF197" s="17" t="n">
        <v>2.5</v>
      </c>
    </row>
    <row r="198">
      <c r="AD198" s="76">
        <f>(140/1440*24)</f>
        <v/>
      </c>
      <c r="AE198" s="16" t="n">
        <v>140</v>
      </c>
      <c r="AF198" s="17" t="n">
        <v>2.5</v>
      </c>
    </row>
    <row r="199">
      <c r="AD199" s="76">
        <f>(141/1440*24)</f>
        <v/>
      </c>
      <c r="AE199" s="16" t="n">
        <v>141</v>
      </c>
      <c r="AF199" s="17" t="n">
        <v>2.5</v>
      </c>
    </row>
    <row r="200">
      <c r="AD200" s="76">
        <f>(142/1440*24)</f>
        <v/>
      </c>
      <c r="AE200" s="16" t="n">
        <v>142</v>
      </c>
      <c r="AF200" s="17" t="n">
        <v>2.5</v>
      </c>
    </row>
    <row r="201">
      <c r="AD201" s="76">
        <f>(143/1440*24)</f>
        <v/>
      </c>
      <c r="AE201" s="16" t="n">
        <v>143</v>
      </c>
      <c r="AF201" s="17" t="n">
        <v>2.5</v>
      </c>
    </row>
    <row r="202">
      <c r="AD202" s="76">
        <f>(144/1440*24)</f>
        <v/>
      </c>
      <c r="AE202" s="16" t="n">
        <v>144</v>
      </c>
      <c r="AF202" s="17" t="n">
        <v>2.5</v>
      </c>
    </row>
    <row r="203">
      <c r="AD203" s="76">
        <f>(145/1440*24)</f>
        <v/>
      </c>
      <c r="AE203" s="16" t="n">
        <v>145</v>
      </c>
      <c r="AF203" s="17" t="n">
        <v>2.5</v>
      </c>
    </row>
    <row r="204">
      <c r="AD204" s="76">
        <f>(146/1440*24)</f>
        <v/>
      </c>
      <c r="AE204" s="16" t="n">
        <v>146</v>
      </c>
      <c r="AF204" s="17" t="n">
        <v>2.5</v>
      </c>
    </row>
    <row r="205">
      <c r="AD205" s="76">
        <f>(147/1440*24)</f>
        <v/>
      </c>
      <c r="AE205" s="16" t="n">
        <v>147</v>
      </c>
      <c r="AF205" s="17" t="n">
        <v>2.5</v>
      </c>
    </row>
    <row r="206">
      <c r="AD206" s="76">
        <f>(148/1440*24)</f>
        <v/>
      </c>
      <c r="AE206" s="16" t="n">
        <v>148</v>
      </c>
      <c r="AF206" s="17" t="n">
        <v>2.5</v>
      </c>
    </row>
    <row r="207">
      <c r="AD207" s="76">
        <f>(149/1440*24)</f>
        <v/>
      </c>
      <c r="AE207" s="16" t="n">
        <v>149</v>
      </c>
      <c r="AF207" s="17" t="n">
        <v>2.5</v>
      </c>
    </row>
    <row r="208">
      <c r="AD208" s="76">
        <f>(150/1440*24)</f>
        <v/>
      </c>
      <c r="AE208" s="16" t="n">
        <v>150</v>
      </c>
      <c r="AF208" s="17" t="n">
        <v>2.5</v>
      </c>
    </row>
    <row r="209">
      <c r="AD209" s="76">
        <f>(151/1440*24)</f>
        <v/>
      </c>
      <c r="AE209" s="16" t="n">
        <v>151</v>
      </c>
      <c r="AF209" s="17" t="n">
        <v>2.75</v>
      </c>
    </row>
    <row r="210">
      <c r="AD210" s="76">
        <f>(152/1440*24)</f>
        <v/>
      </c>
      <c r="AE210" s="16" t="n">
        <v>152</v>
      </c>
      <c r="AF210" s="17" t="n">
        <v>2.75</v>
      </c>
    </row>
    <row r="211">
      <c r="AD211" s="76">
        <f>(153/1440*24)</f>
        <v/>
      </c>
      <c r="AE211" s="16" t="n">
        <v>153</v>
      </c>
      <c r="AF211" s="17" t="n">
        <v>2.75</v>
      </c>
    </row>
    <row r="212">
      <c r="AD212" s="76">
        <f>(154/1440*24)</f>
        <v/>
      </c>
      <c r="AE212" s="16" t="n">
        <v>154</v>
      </c>
      <c r="AF212" s="17" t="n">
        <v>2.75</v>
      </c>
    </row>
    <row r="213">
      <c r="AD213" s="76">
        <f>(155/1440*24)</f>
        <v/>
      </c>
      <c r="AE213" s="16" t="n">
        <v>155</v>
      </c>
      <c r="AF213" s="17" t="n">
        <v>2.75</v>
      </c>
    </row>
    <row r="214">
      <c r="AD214" s="76">
        <f>(156/1440*24)</f>
        <v/>
      </c>
      <c r="AE214" s="16" t="n">
        <v>156</v>
      </c>
      <c r="AF214" s="17" t="n">
        <v>2.75</v>
      </c>
    </row>
    <row r="215">
      <c r="AD215" s="76">
        <f>(157/1440*24)</f>
        <v/>
      </c>
      <c r="AE215" s="16" t="n">
        <v>157</v>
      </c>
      <c r="AF215" s="17" t="n">
        <v>2.75</v>
      </c>
    </row>
    <row r="216">
      <c r="AD216" s="76">
        <f>(158/1440*24)</f>
        <v/>
      </c>
      <c r="AE216" s="16" t="n">
        <v>158</v>
      </c>
      <c r="AF216" s="17" t="n">
        <v>2.75</v>
      </c>
    </row>
    <row r="217">
      <c r="AD217" s="76">
        <f>(159/1440*24)</f>
        <v/>
      </c>
      <c r="AE217" s="16" t="n">
        <v>159</v>
      </c>
      <c r="AF217" s="17" t="n">
        <v>2.75</v>
      </c>
    </row>
    <row r="218">
      <c r="AD218" s="76">
        <f>(160/1440*24)</f>
        <v/>
      </c>
      <c r="AE218" s="16" t="n">
        <v>160</v>
      </c>
      <c r="AF218" s="17" t="n">
        <v>2.75</v>
      </c>
    </row>
    <row r="219">
      <c r="AD219" s="76">
        <f>(161/1440*24)</f>
        <v/>
      </c>
      <c r="AE219" s="16" t="n">
        <v>161</v>
      </c>
      <c r="AF219" s="17" t="n">
        <v>2.75</v>
      </c>
    </row>
    <row r="220">
      <c r="AD220" s="76">
        <f>(162/1440*24)</f>
        <v/>
      </c>
      <c r="AE220" s="16" t="n">
        <v>162</v>
      </c>
      <c r="AF220" s="17" t="n">
        <v>2.75</v>
      </c>
    </row>
    <row r="221">
      <c r="AD221" s="76">
        <f>(163/1440*24)</f>
        <v/>
      </c>
      <c r="AE221" s="16" t="n">
        <v>163</v>
      </c>
      <c r="AF221" s="17" t="n">
        <v>2.75</v>
      </c>
    </row>
    <row r="222">
      <c r="AD222" s="76">
        <f>(164/1440*24)</f>
        <v/>
      </c>
      <c r="AE222" s="16" t="n">
        <v>164</v>
      </c>
      <c r="AF222" s="17" t="n">
        <v>2.75</v>
      </c>
    </row>
    <row r="223">
      <c r="AD223" s="76">
        <f>(165/1440*24)</f>
        <v/>
      </c>
      <c r="AE223" s="16" t="n">
        <v>165</v>
      </c>
      <c r="AF223" s="17" t="n">
        <v>2.75</v>
      </c>
    </row>
    <row r="224">
      <c r="AD224" s="76">
        <f>(166/1440*24)</f>
        <v/>
      </c>
      <c r="AE224" s="16" t="n">
        <v>166</v>
      </c>
      <c r="AF224" s="17" t="n">
        <v>3</v>
      </c>
    </row>
    <row r="225">
      <c r="AD225" s="76">
        <f>(167/1440*24)</f>
        <v/>
      </c>
      <c r="AE225" s="16" t="n">
        <v>167</v>
      </c>
      <c r="AF225" s="17" t="n">
        <v>3</v>
      </c>
    </row>
    <row r="226">
      <c r="AD226" s="76">
        <f>(168/1440*24)</f>
        <v/>
      </c>
      <c r="AE226" s="16" t="n">
        <v>168</v>
      </c>
      <c r="AF226" s="17" t="n">
        <v>3</v>
      </c>
    </row>
    <row r="227">
      <c r="AD227" s="76">
        <f>(169/1440*24)</f>
        <v/>
      </c>
      <c r="AE227" s="16" t="n">
        <v>169</v>
      </c>
      <c r="AF227" s="17" t="n">
        <v>3</v>
      </c>
    </row>
    <row r="228">
      <c r="AD228" s="76">
        <f>(170/1440*24)</f>
        <v/>
      </c>
      <c r="AE228" s="16" t="n">
        <v>170</v>
      </c>
      <c r="AF228" s="17" t="n">
        <v>3</v>
      </c>
    </row>
    <row r="229">
      <c r="AD229" s="76">
        <f>(171/1440*24)</f>
        <v/>
      </c>
      <c r="AE229" s="16" t="n">
        <v>171</v>
      </c>
      <c r="AF229" s="17" t="n">
        <v>3</v>
      </c>
    </row>
    <row r="230">
      <c r="AD230" s="76">
        <f>(172/1440*24)</f>
        <v/>
      </c>
      <c r="AE230" s="16" t="n">
        <v>172</v>
      </c>
      <c r="AF230" s="17" t="n">
        <v>3</v>
      </c>
    </row>
    <row r="231">
      <c r="AD231" s="76">
        <f>(173/1440*24)</f>
        <v/>
      </c>
      <c r="AE231" s="16" t="n">
        <v>173</v>
      </c>
      <c r="AF231" s="17" t="n">
        <v>3</v>
      </c>
    </row>
    <row r="232">
      <c r="AD232" s="76">
        <f>(174/1440*24)</f>
        <v/>
      </c>
      <c r="AE232" s="16" t="n">
        <v>174</v>
      </c>
      <c r="AF232" s="17" t="n">
        <v>3</v>
      </c>
    </row>
    <row r="233">
      <c r="AD233" s="76">
        <f>(175/1440*24)</f>
        <v/>
      </c>
      <c r="AE233" s="16" t="n">
        <v>175</v>
      </c>
      <c r="AF233" s="17" t="n">
        <v>3</v>
      </c>
    </row>
    <row r="234">
      <c r="AD234" s="76">
        <f>(176/1440*24)</f>
        <v/>
      </c>
      <c r="AE234" s="16" t="n">
        <v>176</v>
      </c>
      <c r="AF234" s="17" t="n">
        <v>3</v>
      </c>
    </row>
    <row r="235">
      <c r="AD235" s="76">
        <f>(177/1440*24)</f>
        <v/>
      </c>
      <c r="AE235" s="16" t="n">
        <v>177</v>
      </c>
      <c r="AF235" s="17" t="n">
        <v>3</v>
      </c>
    </row>
    <row r="236">
      <c r="AD236" s="76">
        <f>(178/1440*24)</f>
        <v/>
      </c>
      <c r="AE236" s="16" t="n">
        <v>178</v>
      </c>
      <c r="AF236" s="17" t="n">
        <v>3</v>
      </c>
    </row>
    <row r="237">
      <c r="AD237" s="76">
        <f>(179/1440*24)</f>
        <v/>
      </c>
      <c r="AE237" s="16" t="n">
        <v>179</v>
      </c>
      <c r="AF237" s="17" t="n">
        <v>3</v>
      </c>
    </row>
    <row r="238">
      <c r="AD238" s="76">
        <f>(180/1440*24)</f>
        <v/>
      </c>
      <c r="AE238" s="16" t="n">
        <v>180</v>
      </c>
      <c r="AF238" s="17" t="n">
        <v>3</v>
      </c>
    </row>
    <row r="239">
      <c r="AD239" s="76">
        <f>(181/1440*24)</f>
        <v/>
      </c>
      <c r="AE239" s="16" t="n">
        <v>181</v>
      </c>
      <c r="AF239" s="17" t="n">
        <v>3.25</v>
      </c>
    </row>
    <row r="240">
      <c r="AD240" s="76">
        <f>(182/1440*24)</f>
        <v/>
      </c>
      <c r="AE240" s="16" t="n">
        <v>182</v>
      </c>
      <c r="AF240" s="17" t="n">
        <v>3.25</v>
      </c>
    </row>
    <row r="241">
      <c r="AD241" s="76">
        <f>(183/1440*24)</f>
        <v/>
      </c>
      <c r="AE241" s="16" t="n">
        <v>183</v>
      </c>
      <c r="AF241" s="17" t="n">
        <v>3.25</v>
      </c>
    </row>
    <row r="242">
      <c r="AD242" s="76">
        <f>(184/1440*24)</f>
        <v/>
      </c>
      <c r="AE242" s="16" t="n">
        <v>184</v>
      </c>
      <c r="AF242" s="17" t="n">
        <v>3.25</v>
      </c>
    </row>
    <row r="243">
      <c r="AD243" s="76">
        <f>(185/1440*24)</f>
        <v/>
      </c>
      <c r="AE243" s="16" t="n">
        <v>185</v>
      </c>
      <c r="AF243" s="17" t="n">
        <v>3.25</v>
      </c>
    </row>
    <row r="244">
      <c r="AD244" s="76">
        <f>(186/1440*24)</f>
        <v/>
      </c>
      <c r="AE244" s="16" t="n">
        <v>186</v>
      </c>
      <c r="AF244" s="17" t="n">
        <v>3.25</v>
      </c>
    </row>
    <row r="245">
      <c r="AD245" s="76">
        <f>(187/1440*24)</f>
        <v/>
      </c>
      <c r="AE245" s="16" t="n">
        <v>187</v>
      </c>
      <c r="AF245" s="17" t="n">
        <v>3.25</v>
      </c>
    </row>
    <row r="246">
      <c r="AD246" s="76">
        <f>(188/1440*24)</f>
        <v/>
      </c>
      <c r="AE246" s="16" t="n">
        <v>188</v>
      </c>
      <c r="AF246" s="17" t="n">
        <v>3.25</v>
      </c>
    </row>
    <row r="247">
      <c r="AD247" s="76">
        <f>(189/1440*24)</f>
        <v/>
      </c>
      <c r="AE247" s="16" t="n">
        <v>189</v>
      </c>
      <c r="AF247" s="17" t="n">
        <v>3.25</v>
      </c>
    </row>
    <row r="248">
      <c r="AD248" s="76">
        <f>(190/1440*24)</f>
        <v/>
      </c>
      <c r="AE248" s="16" t="n">
        <v>190</v>
      </c>
      <c r="AF248" s="17" t="n">
        <v>3.25</v>
      </c>
    </row>
    <row r="249">
      <c r="AD249" s="76">
        <f>(191/1440*24)</f>
        <v/>
      </c>
      <c r="AE249" s="16" t="n">
        <v>191</v>
      </c>
      <c r="AF249" s="17" t="n">
        <v>3.25</v>
      </c>
    </row>
    <row r="250">
      <c r="AD250" s="76">
        <f>(192/1440*24)</f>
        <v/>
      </c>
      <c r="AE250" s="16" t="n">
        <v>192</v>
      </c>
      <c r="AF250" s="17" t="n">
        <v>3.25</v>
      </c>
    </row>
    <row r="251">
      <c r="AD251" s="76">
        <f>(193/1440*24)</f>
        <v/>
      </c>
      <c r="AE251" s="16" t="n">
        <v>193</v>
      </c>
      <c r="AF251" s="17" t="n">
        <v>3.25</v>
      </c>
    </row>
    <row r="252">
      <c r="AD252" s="76">
        <f>(194/1440*24)</f>
        <v/>
      </c>
      <c r="AE252" s="16" t="n">
        <v>194</v>
      </c>
      <c r="AF252" s="17" t="n">
        <v>3.25</v>
      </c>
    </row>
    <row r="253">
      <c r="AD253" s="76">
        <f>(195/1440*24)</f>
        <v/>
      </c>
      <c r="AE253" s="16" t="n">
        <v>195</v>
      </c>
      <c r="AF253" s="17" t="n">
        <v>3.25</v>
      </c>
    </row>
    <row r="254">
      <c r="AD254" s="76">
        <f>(196/1440*24)</f>
        <v/>
      </c>
      <c r="AE254" s="16" t="n">
        <v>196</v>
      </c>
      <c r="AF254" s="17" t="n">
        <v>3.5</v>
      </c>
    </row>
    <row r="255">
      <c r="AD255" s="76">
        <f>(197/1440*24)</f>
        <v/>
      </c>
      <c r="AE255" s="16" t="n">
        <v>197</v>
      </c>
      <c r="AF255" s="17" t="n">
        <v>3.5</v>
      </c>
    </row>
    <row r="256">
      <c r="AD256" s="76">
        <f>(198/1440*24)</f>
        <v/>
      </c>
      <c r="AE256" s="16" t="n">
        <v>198</v>
      </c>
      <c r="AF256" s="17" t="n">
        <v>3.5</v>
      </c>
    </row>
    <row r="257">
      <c r="AD257" s="76">
        <f>(199/1440*24)</f>
        <v/>
      </c>
      <c r="AE257" s="16" t="n">
        <v>199</v>
      </c>
      <c r="AF257" s="17" t="n">
        <v>3.5</v>
      </c>
    </row>
    <row r="258">
      <c r="AD258" s="76">
        <f>(200/1440*24)</f>
        <v/>
      </c>
      <c r="AE258" s="16" t="n">
        <v>200</v>
      </c>
      <c r="AF258" s="17" t="n">
        <v>3.5</v>
      </c>
    </row>
    <row r="259">
      <c r="AD259" s="76">
        <f>(201/1440*24)</f>
        <v/>
      </c>
      <c r="AE259" s="16" t="n">
        <v>201</v>
      </c>
      <c r="AF259" s="17" t="n">
        <v>3.5</v>
      </c>
    </row>
    <row r="260">
      <c r="AD260" s="76">
        <f>(202/1440*24)</f>
        <v/>
      </c>
      <c r="AE260" s="16" t="n">
        <v>202</v>
      </c>
      <c r="AF260" s="17" t="n">
        <v>3.5</v>
      </c>
    </row>
    <row r="261">
      <c r="AD261" s="76">
        <f>(203/1440*24)</f>
        <v/>
      </c>
      <c r="AE261" s="16" t="n">
        <v>203</v>
      </c>
      <c r="AF261" s="17" t="n">
        <v>3.5</v>
      </c>
    </row>
    <row r="262">
      <c r="AD262" s="76">
        <f>(204/1440*24)</f>
        <v/>
      </c>
      <c r="AE262" s="16" t="n">
        <v>204</v>
      </c>
      <c r="AF262" s="17" t="n">
        <v>3.5</v>
      </c>
    </row>
    <row r="263">
      <c r="AD263" s="76">
        <f>(205/1440*24)</f>
        <v/>
      </c>
      <c r="AE263" s="16" t="n">
        <v>205</v>
      </c>
      <c r="AF263" s="17" t="n">
        <v>3.5</v>
      </c>
    </row>
    <row r="264">
      <c r="AD264" s="76">
        <f>(206/1440*24)</f>
        <v/>
      </c>
      <c r="AE264" s="16" t="n">
        <v>206</v>
      </c>
      <c r="AF264" s="17" t="n">
        <v>3.5</v>
      </c>
    </row>
    <row r="265">
      <c r="AD265" s="76">
        <f>(207/1440*24)</f>
        <v/>
      </c>
      <c r="AE265" s="16" t="n">
        <v>207</v>
      </c>
      <c r="AF265" s="17" t="n">
        <v>3.5</v>
      </c>
    </row>
    <row r="266">
      <c r="AD266" s="76">
        <f>(208/1440*24)</f>
        <v/>
      </c>
      <c r="AE266" s="16" t="n">
        <v>208</v>
      </c>
      <c r="AF266" s="17" t="n">
        <v>3.5</v>
      </c>
    </row>
    <row r="267">
      <c r="AD267" s="76">
        <f>(209/1440*24)</f>
        <v/>
      </c>
      <c r="AE267" s="16" t="n">
        <v>209</v>
      </c>
      <c r="AF267" s="17" t="n">
        <v>3.5</v>
      </c>
    </row>
    <row r="268">
      <c r="AD268" s="76">
        <f>(210/1440*24)</f>
        <v/>
      </c>
      <c r="AE268" s="16" t="n">
        <v>210</v>
      </c>
      <c r="AF268" s="17" t="n">
        <v>3.5</v>
      </c>
    </row>
    <row r="269">
      <c r="AD269" s="76">
        <f>(211/1440*24)</f>
        <v/>
      </c>
      <c r="AE269" s="16" t="n">
        <v>211</v>
      </c>
      <c r="AF269" s="17" t="n">
        <v>3.75</v>
      </c>
    </row>
    <row r="270">
      <c r="AD270" s="76">
        <f>(212/1440*24)</f>
        <v/>
      </c>
      <c r="AE270" s="16" t="n">
        <v>212</v>
      </c>
      <c r="AF270" s="17" t="n">
        <v>3.75</v>
      </c>
    </row>
    <row r="271">
      <c r="AD271" s="76">
        <f>(213/1440*24)</f>
        <v/>
      </c>
      <c r="AE271" s="16" t="n">
        <v>213</v>
      </c>
      <c r="AF271" s="17" t="n">
        <v>3.75</v>
      </c>
    </row>
    <row r="272">
      <c r="AD272" s="76">
        <f>(214/1440*24)</f>
        <v/>
      </c>
      <c r="AE272" s="16" t="n">
        <v>214</v>
      </c>
      <c r="AF272" s="17" t="n">
        <v>3.75</v>
      </c>
    </row>
    <row r="273">
      <c r="AD273" s="76">
        <f>(215/1440*24)</f>
        <v/>
      </c>
      <c r="AE273" s="16" t="n">
        <v>215</v>
      </c>
      <c r="AF273" s="17" t="n">
        <v>3.75</v>
      </c>
    </row>
    <row r="274">
      <c r="AD274" s="76">
        <f>(216/1440*24)</f>
        <v/>
      </c>
      <c r="AE274" s="16" t="n">
        <v>216</v>
      </c>
      <c r="AF274" s="17" t="n">
        <v>3.75</v>
      </c>
    </row>
    <row r="275">
      <c r="AD275" s="76">
        <f>(217/1440*24)</f>
        <v/>
      </c>
      <c r="AE275" s="16" t="n">
        <v>217</v>
      </c>
      <c r="AF275" s="17" t="n">
        <v>3.75</v>
      </c>
    </row>
    <row r="276">
      <c r="AD276" s="76">
        <f>(218/1440*24)</f>
        <v/>
      </c>
      <c r="AE276" s="16" t="n">
        <v>218</v>
      </c>
      <c r="AF276" s="17" t="n">
        <v>3.75</v>
      </c>
    </row>
    <row r="277">
      <c r="AD277" s="76">
        <f>(219/1440*24)</f>
        <v/>
      </c>
      <c r="AE277" s="16" t="n">
        <v>219</v>
      </c>
      <c r="AF277" s="17" t="n">
        <v>3.75</v>
      </c>
    </row>
    <row r="278">
      <c r="AD278" s="76">
        <f>(220/1440*24)</f>
        <v/>
      </c>
      <c r="AE278" s="16" t="n">
        <v>220</v>
      </c>
      <c r="AF278" s="17" t="n">
        <v>3.75</v>
      </c>
    </row>
    <row r="279">
      <c r="AD279" s="76">
        <f>(221/1440*24)</f>
        <v/>
      </c>
      <c r="AE279" s="16" t="n">
        <v>221</v>
      </c>
      <c r="AF279" s="17" t="n">
        <v>3.75</v>
      </c>
    </row>
    <row r="280">
      <c r="AD280" s="76">
        <f>(222/1440*24)</f>
        <v/>
      </c>
      <c r="AE280" s="16" t="n">
        <v>222</v>
      </c>
      <c r="AF280" s="17" t="n">
        <v>3.75</v>
      </c>
    </row>
    <row r="281">
      <c r="AD281" s="76">
        <f>(223/1440*24)</f>
        <v/>
      </c>
      <c r="AE281" s="16" t="n">
        <v>223</v>
      </c>
      <c r="AF281" s="17" t="n">
        <v>3.75</v>
      </c>
    </row>
    <row r="282">
      <c r="AD282" s="76">
        <f>(224/1440*24)</f>
        <v/>
      </c>
      <c r="AE282" s="16" t="n">
        <v>224</v>
      </c>
      <c r="AF282" s="17" t="n">
        <v>3.75</v>
      </c>
    </row>
    <row r="283">
      <c r="AD283" s="76">
        <f>(225/1440*24)</f>
        <v/>
      </c>
      <c r="AE283" s="16" t="n">
        <v>225</v>
      </c>
      <c r="AF283" s="17" t="n">
        <v>3.75</v>
      </c>
    </row>
    <row r="284">
      <c r="AD284" s="76">
        <f>(226/1440*24)</f>
        <v/>
      </c>
      <c r="AE284" s="16" t="n">
        <v>226</v>
      </c>
      <c r="AF284" s="17" t="n">
        <v>4</v>
      </c>
    </row>
    <row r="285">
      <c r="AD285" s="76">
        <f>(227/1440*24)</f>
        <v/>
      </c>
      <c r="AE285" s="16" t="n">
        <v>227</v>
      </c>
      <c r="AF285" s="17" t="n">
        <v>4</v>
      </c>
    </row>
    <row r="286">
      <c r="AD286" s="76">
        <f>(228/1440*24)</f>
        <v/>
      </c>
      <c r="AE286" s="16" t="n">
        <v>228</v>
      </c>
      <c r="AF286" s="17" t="n">
        <v>4</v>
      </c>
    </row>
    <row r="287">
      <c r="AD287" s="76">
        <f>(229/1440*24)</f>
        <v/>
      </c>
      <c r="AE287" s="16" t="n">
        <v>229</v>
      </c>
      <c r="AF287" s="17" t="n">
        <v>4</v>
      </c>
    </row>
    <row r="288">
      <c r="AD288" s="76">
        <f>(230/1440*24)</f>
        <v/>
      </c>
      <c r="AE288" s="16" t="n">
        <v>230</v>
      </c>
      <c r="AF288" s="17" t="n">
        <v>4</v>
      </c>
    </row>
    <row r="289">
      <c r="AD289" s="76">
        <f>(231/1440*24)</f>
        <v/>
      </c>
      <c r="AE289" s="16" t="n">
        <v>231</v>
      </c>
      <c r="AF289" s="17" t="n">
        <v>4</v>
      </c>
    </row>
    <row r="290">
      <c r="AD290" s="76">
        <f>(232/1440*24)</f>
        <v/>
      </c>
      <c r="AE290" s="16" t="n">
        <v>232</v>
      </c>
      <c r="AF290" s="17" t="n">
        <v>4</v>
      </c>
    </row>
    <row r="291">
      <c r="AD291" s="76">
        <f>(233/1440*24)</f>
        <v/>
      </c>
      <c r="AE291" s="16" t="n">
        <v>233</v>
      </c>
      <c r="AF291" s="17" t="n">
        <v>4</v>
      </c>
    </row>
    <row r="292">
      <c r="AD292" s="76">
        <f>(234/1440*24)</f>
        <v/>
      </c>
      <c r="AE292" s="16" t="n">
        <v>234</v>
      </c>
      <c r="AF292" s="17" t="n">
        <v>4</v>
      </c>
    </row>
    <row r="293">
      <c r="AD293" s="76">
        <f>(235/1440*24)</f>
        <v/>
      </c>
      <c r="AE293" s="16" t="n">
        <v>235</v>
      </c>
      <c r="AF293" s="17" t="n">
        <v>4</v>
      </c>
    </row>
    <row r="294">
      <c r="AD294" s="76">
        <f>(236/1440*24)</f>
        <v/>
      </c>
      <c r="AE294" s="16" t="n">
        <v>236</v>
      </c>
      <c r="AF294" s="17" t="n">
        <v>4</v>
      </c>
    </row>
    <row r="295">
      <c r="AD295" s="76">
        <f>(237/1440*24)</f>
        <v/>
      </c>
      <c r="AE295" s="16" t="n">
        <v>237</v>
      </c>
      <c r="AF295" s="17" t="n">
        <v>4</v>
      </c>
    </row>
    <row r="296">
      <c r="AD296" s="76">
        <f>(238/1440*24)</f>
        <v/>
      </c>
      <c r="AE296" s="16" t="n">
        <v>238</v>
      </c>
      <c r="AF296" s="17" t="n">
        <v>4</v>
      </c>
    </row>
    <row r="297">
      <c r="AD297" s="76">
        <f>(239/1440*24)</f>
        <v/>
      </c>
      <c r="AE297" s="16" t="n">
        <v>239</v>
      </c>
      <c r="AF297" s="17" t="n">
        <v>4</v>
      </c>
    </row>
    <row r="298">
      <c r="AD298" s="76">
        <f>(240/1440*24)</f>
        <v/>
      </c>
      <c r="AE298" s="16" t="n">
        <v>240</v>
      </c>
      <c r="AF298" s="17" t="n">
        <v>4</v>
      </c>
    </row>
    <row r="299">
      <c r="AD299" s="76">
        <f>(241/1440*24)</f>
        <v/>
      </c>
      <c r="AE299" s="16" t="n">
        <v>241</v>
      </c>
      <c r="AF299" s="17" t="n">
        <v>4.25</v>
      </c>
    </row>
    <row r="300">
      <c r="AD300" s="76">
        <f>(242/1440*24)</f>
        <v/>
      </c>
      <c r="AE300" s="16" t="n">
        <v>242</v>
      </c>
      <c r="AF300" s="17" t="n">
        <v>4.25</v>
      </c>
    </row>
    <row r="301">
      <c r="AD301" s="76">
        <f>(243/1440*24)</f>
        <v/>
      </c>
      <c r="AE301" s="16" t="n">
        <v>243</v>
      </c>
      <c r="AF301" s="17" t="n">
        <v>4.25</v>
      </c>
    </row>
    <row r="302">
      <c r="AD302" s="76">
        <f>(244/1440*24)</f>
        <v/>
      </c>
      <c r="AE302" s="16" t="n">
        <v>244</v>
      </c>
      <c r="AF302" s="17" t="n">
        <v>4.25</v>
      </c>
    </row>
    <row r="303">
      <c r="AD303" s="76">
        <f>(245/1440*24)</f>
        <v/>
      </c>
      <c r="AE303" s="16" t="n">
        <v>245</v>
      </c>
      <c r="AF303" s="17" t="n">
        <v>4.25</v>
      </c>
    </row>
    <row r="304">
      <c r="AD304" s="76">
        <f>(246/1440*24)</f>
        <v/>
      </c>
      <c r="AE304" s="16" t="n">
        <v>246</v>
      </c>
      <c r="AF304" s="17" t="n">
        <v>4.25</v>
      </c>
    </row>
    <row r="305">
      <c r="AD305" s="76">
        <f>(247/1440*24)</f>
        <v/>
      </c>
      <c r="AE305" s="16" t="n">
        <v>247</v>
      </c>
      <c r="AF305" s="17" t="n">
        <v>4.25</v>
      </c>
    </row>
    <row r="306">
      <c r="AD306" s="76">
        <f>(248/1440*24)</f>
        <v/>
      </c>
      <c r="AE306" s="16" t="n">
        <v>248</v>
      </c>
      <c r="AF306" s="17" t="n">
        <v>4.25</v>
      </c>
    </row>
    <row r="307">
      <c r="AD307" s="76">
        <f>(249/1440*24)</f>
        <v/>
      </c>
      <c r="AE307" s="16" t="n">
        <v>249</v>
      </c>
      <c r="AF307" s="17" t="n">
        <v>4.25</v>
      </c>
    </row>
    <row r="308">
      <c r="AD308" s="76">
        <f>(250/1440*24)</f>
        <v/>
      </c>
      <c r="AE308" s="16" t="n">
        <v>250</v>
      </c>
      <c r="AF308" s="17" t="n">
        <v>4.25</v>
      </c>
    </row>
    <row r="309">
      <c r="AD309" s="76">
        <f>(251/1440*24)</f>
        <v/>
      </c>
      <c r="AE309" s="16" t="n">
        <v>251</v>
      </c>
      <c r="AF309" s="17" t="n">
        <v>4.25</v>
      </c>
    </row>
    <row r="310">
      <c r="AD310" s="76">
        <f>(252/1440*24)</f>
        <v/>
      </c>
      <c r="AE310" s="16" t="n">
        <v>252</v>
      </c>
      <c r="AF310" s="17" t="n">
        <v>4.25</v>
      </c>
    </row>
    <row r="311">
      <c r="AD311" s="76">
        <f>(253/1440*24)</f>
        <v/>
      </c>
      <c r="AE311" s="16" t="n">
        <v>253</v>
      </c>
      <c r="AF311" s="17" t="n">
        <v>4.25</v>
      </c>
    </row>
    <row r="312">
      <c r="AD312" s="76">
        <f>(254/1440*24)</f>
        <v/>
      </c>
      <c r="AE312" s="16" t="n">
        <v>254</v>
      </c>
      <c r="AF312" s="17" t="n">
        <v>4.25</v>
      </c>
    </row>
    <row r="313">
      <c r="AD313" s="76">
        <f>(255/1440*24)</f>
        <v/>
      </c>
      <c r="AE313" s="16" t="n">
        <v>255</v>
      </c>
      <c r="AF313" s="17" t="n">
        <v>4.25</v>
      </c>
    </row>
    <row r="314">
      <c r="AD314" s="76">
        <f>(256/1440*24)</f>
        <v/>
      </c>
      <c r="AE314" s="16" t="n">
        <v>256</v>
      </c>
      <c r="AF314" s="17" t="n">
        <v>4.5</v>
      </c>
    </row>
    <row r="315">
      <c r="AD315" s="76">
        <f>(257/1440*24)</f>
        <v/>
      </c>
      <c r="AE315" s="16" t="n">
        <v>257</v>
      </c>
      <c r="AF315" s="17" t="n">
        <v>4.5</v>
      </c>
    </row>
    <row r="316">
      <c r="AD316" s="76">
        <f>(258/1440*24)</f>
        <v/>
      </c>
      <c r="AE316" s="16" t="n">
        <v>258</v>
      </c>
      <c r="AF316" s="17" t="n">
        <v>4.5</v>
      </c>
    </row>
    <row r="317">
      <c r="AD317" s="76">
        <f>(259/1440*24)</f>
        <v/>
      </c>
      <c r="AE317" s="16" t="n">
        <v>259</v>
      </c>
      <c r="AF317" s="17" t="n">
        <v>4.5</v>
      </c>
    </row>
    <row r="318">
      <c r="AD318" s="76">
        <f>(260/1440*24)</f>
        <v/>
      </c>
      <c r="AE318" s="16" t="n">
        <v>260</v>
      </c>
      <c r="AF318" s="17" t="n">
        <v>4.5</v>
      </c>
    </row>
    <row r="319">
      <c r="AD319" s="76">
        <f>(261/1440*24)</f>
        <v/>
      </c>
      <c r="AE319" s="16" t="n">
        <v>261</v>
      </c>
      <c r="AF319" s="17" t="n">
        <v>4.5</v>
      </c>
    </row>
    <row r="320">
      <c r="AD320" s="76">
        <f>(262/1440*24)</f>
        <v/>
      </c>
      <c r="AE320" s="16" t="n">
        <v>262</v>
      </c>
      <c r="AF320" s="17" t="n">
        <v>4.5</v>
      </c>
    </row>
    <row r="321">
      <c r="AD321" s="76">
        <f>(263/1440*24)</f>
        <v/>
      </c>
      <c r="AE321" s="16" t="n">
        <v>263</v>
      </c>
      <c r="AF321" s="17" t="n">
        <v>4.5</v>
      </c>
    </row>
    <row r="322">
      <c r="AD322" s="76">
        <f>(264/1440*24)</f>
        <v/>
      </c>
      <c r="AE322" s="16" t="n">
        <v>264</v>
      </c>
      <c r="AF322" s="17" t="n">
        <v>4.5</v>
      </c>
    </row>
    <row r="323">
      <c r="AD323" s="76">
        <f>(265/1440*24)</f>
        <v/>
      </c>
      <c r="AE323" s="16" t="n">
        <v>265</v>
      </c>
      <c r="AF323" s="17" t="n">
        <v>4.5</v>
      </c>
    </row>
    <row r="324">
      <c r="AD324" s="76">
        <f>(266/1440*24)</f>
        <v/>
      </c>
      <c r="AE324" s="16" t="n">
        <v>266</v>
      </c>
      <c r="AF324" s="17" t="n">
        <v>4.5</v>
      </c>
    </row>
    <row r="325">
      <c r="AD325" s="76">
        <f>(267/1440*24)</f>
        <v/>
      </c>
      <c r="AE325" s="16" t="n">
        <v>267</v>
      </c>
      <c r="AF325" s="17" t="n">
        <v>4.5</v>
      </c>
    </row>
    <row r="326">
      <c r="AD326" s="76">
        <f>(268/1440*24)</f>
        <v/>
      </c>
      <c r="AE326" s="16" t="n">
        <v>268</v>
      </c>
      <c r="AF326" s="17" t="n">
        <v>4.5</v>
      </c>
    </row>
    <row r="327">
      <c r="AD327" s="76">
        <f>(269/1440*24)</f>
        <v/>
      </c>
      <c r="AE327" s="16" t="n">
        <v>269</v>
      </c>
      <c r="AF327" s="17" t="n">
        <v>4.5</v>
      </c>
    </row>
    <row r="328">
      <c r="AD328" s="76">
        <f>(270/1440*24)</f>
        <v/>
      </c>
      <c r="AE328" s="16" t="n">
        <v>270</v>
      </c>
      <c r="AF328" s="17" t="n">
        <v>4.5</v>
      </c>
    </row>
    <row r="329">
      <c r="AD329" s="76">
        <f>(271/1440*24)</f>
        <v/>
      </c>
      <c r="AE329" s="16" t="n">
        <v>271</v>
      </c>
      <c r="AF329" s="17" t="n">
        <v>4.75</v>
      </c>
    </row>
    <row r="330">
      <c r="AD330" s="76">
        <f>(272/1440*24)</f>
        <v/>
      </c>
      <c r="AE330" s="16" t="n">
        <v>272</v>
      </c>
      <c r="AF330" s="17" t="n">
        <v>4.75</v>
      </c>
    </row>
    <row r="331">
      <c r="AD331" s="76">
        <f>(273/1440*24)</f>
        <v/>
      </c>
      <c r="AE331" s="16" t="n">
        <v>273</v>
      </c>
      <c r="AF331" s="17" t="n">
        <v>4.75</v>
      </c>
    </row>
    <row r="332">
      <c r="AD332" s="76">
        <f>(274/1440*24)</f>
        <v/>
      </c>
      <c r="AE332" s="16" t="n">
        <v>274</v>
      </c>
      <c r="AF332" s="17" t="n">
        <v>4.75</v>
      </c>
    </row>
    <row r="333">
      <c r="AD333" s="76">
        <f>(275/1440*24)</f>
        <v/>
      </c>
      <c r="AE333" s="16" t="n">
        <v>275</v>
      </c>
      <c r="AF333" s="17" t="n">
        <v>4.75</v>
      </c>
    </row>
    <row r="334">
      <c r="AD334" s="76">
        <f>(276/1440*24)</f>
        <v/>
      </c>
      <c r="AE334" s="16" t="n">
        <v>276</v>
      </c>
      <c r="AF334" s="17" t="n">
        <v>4.75</v>
      </c>
    </row>
    <row r="335">
      <c r="AD335" s="76">
        <f>(277/1440*24)</f>
        <v/>
      </c>
      <c r="AE335" s="16" t="n">
        <v>277</v>
      </c>
      <c r="AF335" s="17" t="n">
        <v>4.75</v>
      </c>
    </row>
    <row r="336">
      <c r="AD336" s="76">
        <f>(278/1440*24)</f>
        <v/>
      </c>
      <c r="AE336" s="16" t="n">
        <v>278</v>
      </c>
      <c r="AF336" s="17" t="n">
        <v>4.75</v>
      </c>
    </row>
    <row r="337">
      <c r="AD337" s="76">
        <f>(279/1440*24)</f>
        <v/>
      </c>
      <c r="AE337" s="16" t="n">
        <v>279</v>
      </c>
      <c r="AF337" s="17" t="n">
        <v>4.75</v>
      </c>
    </row>
    <row r="338">
      <c r="AD338" s="76">
        <f>(280/1440*24)</f>
        <v/>
      </c>
      <c r="AE338" s="16" t="n">
        <v>280</v>
      </c>
      <c r="AF338" s="17" t="n">
        <v>4.75</v>
      </c>
    </row>
    <row r="339">
      <c r="AD339" s="76">
        <f>(281/1440*24)</f>
        <v/>
      </c>
      <c r="AE339" s="16" t="n">
        <v>281</v>
      </c>
      <c r="AF339" s="17" t="n">
        <v>4.75</v>
      </c>
    </row>
    <row r="340">
      <c r="AD340" s="76">
        <f>(282/1440*24)</f>
        <v/>
      </c>
      <c r="AE340" s="16" t="n">
        <v>282</v>
      </c>
      <c r="AF340" s="17" t="n">
        <v>4.75</v>
      </c>
    </row>
    <row r="341">
      <c r="AD341" s="76">
        <f>(283/1440*24)</f>
        <v/>
      </c>
      <c r="AE341" s="16" t="n">
        <v>283</v>
      </c>
      <c r="AF341" s="17" t="n">
        <v>4.75</v>
      </c>
    </row>
    <row r="342">
      <c r="AD342" s="76">
        <f>(284/1440*24)</f>
        <v/>
      </c>
      <c r="AE342" s="16" t="n">
        <v>284</v>
      </c>
      <c r="AF342" s="17" t="n">
        <v>4.75</v>
      </c>
    </row>
    <row r="343">
      <c r="AD343" s="76">
        <f>(285/1440*24)</f>
        <v/>
      </c>
      <c r="AE343" s="16" t="n">
        <v>285</v>
      </c>
      <c r="AF343" s="17" t="n">
        <v>4.75</v>
      </c>
    </row>
    <row r="344">
      <c r="AD344" s="76">
        <f>(286/1440*24)</f>
        <v/>
      </c>
      <c r="AE344" s="16" t="n">
        <v>286</v>
      </c>
      <c r="AF344" s="17" t="n">
        <v>5</v>
      </c>
    </row>
    <row r="345">
      <c r="AD345" s="76">
        <f>(287/1440*24)</f>
        <v/>
      </c>
      <c r="AE345" s="16" t="n">
        <v>287</v>
      </c>
      <c r="AF345" s="17" t="n">
        <v>5</v>
      </c>
    </row>
    <row r="346">
      <c r="AD346" s="76">
        <f>(288/1440*24)</f>
        <v/>
      </c>
      <c r="AE346" s="16" t="n">
        <v>288</v>
      </c>
      <c r="AF346" s="17" t="n">
        <v>5</v>
      </c>
    </row>
    <row r="347">
      <c r="AD347" s="76">
        <f>(289/1440*24)</f>
        <v/>
      </c>
      <c r="AE347" s="16" t="n">
        <v>289</v>
      </c>
      <c r="AF347" s="17" t="n">
        <v>5</v>
      </c>
    </row>
    <row r="348">
      <c r="AD348" s="76">
        <f>(290/1440*24)</f>
        <v/>
      </c>
      <c r="AE348" s="16" t="n">
        <v>290</v>
      </c>
      <c r="AF348" s="17" t="n">
        <v>5</v>
      </c>
    </row>
    <row r="349">
      <c r="AD349" s="76">
        <f>(291/1440*24)</f>
        <v/>
      </c>
      <c r="AE349" s="16" t="n">
        <v>291</v>
      </c>
      <c r="AF349" s="17" t="n">
        <v>5</v>
      </c>
    </row>
    <row r="350">
      <c r="AD350" s="76">
        <f>(292/1440*24)</f>
        <v/>
      </c>
      <c r="AE350" s="16" t="n">
        <v>292</v>
      </c>
      <c r="AF350" s="17" t="n">
        <v>5</v>
      </c>
    </row>
    <row r="351">
      <c r="AD351" s="76">
        <f>(293/1440*24)</f>
        <v/>
      </c>
      <c r="AE351" s="16" t="n">
        <v>293</v>
      </c>
      <c r="AF351" s="17" t="n">
        <v>5</v>
      </c>
    </row>
    <row r="352">
      <c r="AD352" s="76">
        <f>(294/1440*24)</f>
        <v/>
      </c>
      <c r="AE352" s="16" t="n">
        <v>294</v>
      </c>
      <c r="AF352" s="17" t="n">
        <v>5</v>
      </c>
    </row>
    <row r="353">
      <c r="AD353" s="76">
        <f>(295/1440*24)</f>
        <v/>
      </c>
      <c r="AE353" s="16" t="n">
        <v>295</v>
      </c>
      <c r="AF353" s="17" t="n">
        <v>5</v>
      </c>
    </row>
    <row r="354">
      <c r="AD354" s="76">
        <f>(296/1440*24)</f>
        <v/>
      </c>
      <c r="AE354" s="16" t="n">
        <v>296</v>
      </c>
      <c r="AF354" s="17" t="n">
        <v>5</v>
      </c>
    </row>
    <row r="355">
      <c r="AD355" s="76">
        <f>(297/1440*24)</f>
        <v/>
      </c>
      <c r="AE355" s="16" t="n">
        <v>297</v>
      </c>
      <c r="AF355" s="17" t="n">
        <v>5</v>
      </c>
    </row>
    <row r="356">
      <c r="AD356" s="76">
        <f>(298/1440*24)</f>
        <v/>
      </c>
      <c r="AE356" s="16" t="n">
        <v>298</v>
      </c>
      <c r="AF356" s="17" t="n">
        <v>5</v>
      </c>
    </row>
    <row r="357">
      <c r="AD357" s="76">
        <f>(299/1440*24)</f>
        <v/>
      </c>
      <c r="AE357" s="16" t="n">
        <v>299</v>
      </c>
      <c r="AF357" s="17" t="n">
        <v>5</v>
      </c>
    </row>
    <row r="358">
      <c r="AD358" s="76">
        <f>(300/1440*24)</f>
        <v/>
      </c>
      <c r="AE358" s="16" t="n">
        <v>300</v>
      </c>
      <c r="AF358" s="17" t="n">
        <v>5</v>
      </c>
    </row>
    <row r="359">
      <c r="AD359" s="35" t="n"/>
    </row>
  </sheetData>
  <conditionalFormatting sqref="Y9:AA96">
    <cfRule type="cellIs" priority="8" operator="notBetween" dxfId="1" stopIfTrue="1">
      <formula>#REF!</formula>
      <formula>#REF!</formula>
    </cfRule>
  </conditionalFormatting>
  <conditionalFormatting sqref="AA97 AD2:AD358">
    <cfRule type="cellIs" priority="7" operator="notEqual" dxfId="0" stopIfTrue="1">
      <formula>#REF!</formula>
    </cfRule>
  </conditionalFormatting>
  <dataValidations count="4">
    <dataValidation sqref="O97" showDropDown="0" showInputMessage="1" showErrorMessage="1" allowBlank="1" errorTitle="Time format must be used." error="Please use the time format for this cell._x000a__x000a_Ex. 1:45" promptTitle="Use Time Format 00:00" type="time" operator="lessThan">
      <formula1>0.334027777777778</formula1>
    </dataValidation>
    <dataValidation sqref="M9:M96" showDropDown="0" showInputMessage="1" showErrorMessage="1" allowBlank="0" type="list">
      <formula1>"V, S, H"</formula1>
    </dataValidation>
    <dataValidation sqref="O9:O96" showDropDown="0" showInputMessage="1" showErrorMessage="1" allowBlank="1" errorTitle="Time format must be used." error="Please use the time format for this cell._x000a__x000a_Ex. 1:45_x000a_A maximum of 8  hours is allowed._x000a_More than that will cause an error." promptTitle="Use Time Format 00:00" operator="lessThan"/>
    <dataValidation sqref="B9:B96" showDropDown="0" showInputMessage="1" showErrorMessage="1" allowBlank="1" type="list">
      <formula1>INDIRECT(A9)</formula1>
    </dataValidation>
  </dataValidations>
  <pageMargins left="0.25" right="0.25" top="0.25" bottom="0" header="0.5" footer="0.5"/>
  <pageSetup orientation="landscape" scale="86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4" sqref="A4"/>
    </sheetView>
  </sheetViews>
  <sheetFormatPr baseColWidth="10" defaultColWidth="8.83203125" defaultRowHeight="13"/>
  <cols>
    <col width="16.5" customWidth="1" min="1" max="1"/>
    <col width="14.6640625" customWidth="1" min="4" max="4"/>
    <col width="26.5" customWidth="1" min="5" max="5"/>
    <col width="3.5" customWidth="1" min="6" max="6"/>
    <col width="26.5" customWidth="1" min="7" max="7"/>
    <col width="3.5" customWidth="1" min="8" max="8"/>
    <col width="26.5" customWidth="1" min="9" max="9"/>
    <col width="10.83203125" customWidth="1" min="11" max="11"/>
    <col width="11" customWidth="1" min="13" max="13"/>
  </cols>
  <sheetData>
    <row r="1">
      <c r="A1" s="105" t="inlineStr">
        <is>
          <t>MAIN LIST</t>
        </is>
      </c>
      <c r="D1" s="106" t="n"/>
      <c r="E1" s="112" t="inlineStr">
        <is>
          <t>PT LIST</t>
        </is>
      </c>
      <c r="G1" s="107" t="inlineStr">
        <is>
          <t>FS-OH LIST</t>
        </is>
      </c>
      <c r="I1" s="107" t="inlineStr">
        <is>
          <t>FS-IH LIST</t>
        </is>
      </c>
    </row>
    <row r="2">
      <c r="A2" s="69" t="inlineStr">
        <is>
          <t>PT</t>
        </is>
      </c>
      <c r="B2" t="n">
        <v>8873</v>
      </c>
      <c r="E2" s="109" t="inlineStr">
        <is>
          <t>Prep - Advance Cancel</t>
        </is>
      </c>
      <c r="G2" s="109" t="inlineStr">
        <is>
          <t>Prep - Advance Cancel</t>
        </is>
      </c>
      <c r="I2" s="106" t="inlineStr">
        <is>
          <t>Prep - Advance Cancel</t>
        </is>
      </c>
    </row>
    <row r="3">
      <c r="A3" s="106" t="inlineStr">
        <is>
          <t>Travel-PT</t>
        </is>
      </c>
      <c r="B3" t="n">
        <v>9789</v>
      </c>
      <c r="E3" s="110" t="inlineStr">
        <is>
          <t>Prep - Enroute Cancel</t>
        </is>
      </c>
      <c r="G3" s="110" t="inlineStr">
        <is>
          <t>Prep - Enroute Cancel</t>
        </is>
      </c>
      <c r="I3" s="106" t="inlineStr">
        <is>
          <t>Prep - Enroute Cancel</t>
        </is>
      </c>
    </row>
    <row r="4">
      <c r="A4" s="106" t="inlineStr">
        <is>
          <t>Travel-PT-Kids</t>
        </is>
      </c>
      <c r="B4" t="n">
        <v>3773</v>
      </c>
      <c r="E4" s="111" t="inlineStr">
        <is>
          <t>Prep - No Show</t>
        </is>
      </c>
      <c r="G4" s="111" t="inlineStr">
        <is>
          <t>Prep - No Show</t>
        </is>
      </c>
      <c r="I4" t="inlineStr">
        <is>
          <t>Prep - No Show</t>
        </is>
      </c>
    </row>
    <row r="5">
      <c r="A5" s="106" t="inlineStr">
        <is>
          <t>FS.OH</t>
        </is>
      </c>
      <c r="B5" t="n">
        <v>7443</v>
      </c>
      <c r="E5" s="110" t="inlineStr">
        <is>
          <t>Virtual</t>
        </is>
      </c>
      <c r="G5" s="108" t="inlineStr">
        <is>
          <t>Virtual</t>
        </is>
      </c>
      <c r="I5" t="inlineStr">
        <is>
          <t>Virtual</t>
        </is>
      </c>
    </row>
    <row r="6">
      <c r="A6" s="106" t="inlineStr">
        <is>
          <t>Travel-FS-OH</t>
        </is>
      </c>
      <c r="B6" t="n">
        <v>2178</v>
      </c>
    </row>
    <row r="7">
      <c r="A7" s="106" t="inlineStr">
        <is>
          <t>FS.IH</t>
        </is>
      </c>
      <c r="B7" t="n">
        <v>7171</v>
      </c>
    </row>
    <row r="8">
      <c r="A8" s="69" t="inlineStr">
        <is>
          <t>Travel-FS-IH</t>
        </is>
      </c>
      <c r="B8" t="n">
        <v>2178</v>
      </c>
      <c r="E8" s="106" t="inlineStr">
        <is>
          <t>DT.Breath</t>
        </is>
      </c>
      <c r="G8" s="106" t="inlineStr">
        <is>
          <t>DT.Swab</t>
        </is>
      </c>
      <c r="I8" s="106" t="inlineStr">
        <is>
          <t>DT.Urine</t>
        </is>
      </c>
      <c r="K8" s="106" t="inlineStr">
        <is>
          <t>DT.Patch</t>
        </is>
      </c>
      <c r="M8" s="106" t="inlineStr">
        <is>
          <t>DT.Sweat</t>
        </is>
      </c>
    </row>
    <row r="9">
      <c r="A9" s="106" t="inlineStr">
        <is>
          <t>DT.Breath</t>
        </is>
      </c>
      <c r="B9" s="69" t="n"/>
      <c r="E9" t="inlineStr">
        <is>
          <t>Admission</t>
        </is>
      </c>
      <c r="G9" t="inlineStr">
        <is>
          <t>Admission</t>
        </is>
      </c>
      <c r="I9" t="inlineStr">
        <is>
          <t>Admission</t>
        </is>
      </c>
      <c r="K9" t="inlineStr">
        <is>
          <t>Admission</t>
        </is>
      </c>
      <c r="M9" t="inlineStr">
        <is>
          <t>Admission</t>
        </is>
      </c>
    </row>
    <row r="10">
      <c r="A10" s="106" t="inlineStr">
        <is>
          <t>DT.Swab</t>
        </is>
      </c>
      <c r="B10" s="69" t="n"/>
      <c r="E10" t="inlineStr">
        <is>
          <t>Refusal</t>
        </is>
      </c>
      <c r="G10" t="inlineStr">
        <is>
          <t>Refusal</t>
        </is>
      </c>
      <c r="I10" t="inlineStr">
        <is>
          <t>Refusal</t>
        </is>
      </c>
      <c r="K10" t="inlineStr">
        <is>
          <t>Refusal</t>
        </is>
      </c>
      <c r="M10" t="inlineStr">
        <is>
          <t>Refusal</t>
        </is>
      </c>
    </row>
    <row r="11">
      <c r="A11" s="106" t="inlineStr">
        <is>
          <t>DT.Urine</t>
        </is>
      </c>
      <c r="B11" s="69" t="n"/>
      <c r="E11" t="inlineStr">
        <is>
          <t>No Show</t>
        </is>
      </c>
      <c r="G11" t="inlineStr">
        <is>
          <t>No Show</t>
        </is>
      </c>
      <c r="I11" t="inlineStr">
        <is>
          <t>No Show</t>
        </is>
      </c>
      <c r="K11" t="inlineStr">
        <is>
          <t>No Show</t>
        </is>
      </c>
      <c r="M11" t="inlineStr">
        <is>
          <t>No Show</t>
        </is>
      </c>
    </row>
    <row r="12">
      <c r="A12" s="106" t="inlineStr">
        <is>
          <t>DT.Patch</t>
        </is>
      </c>
      <c r="B12" s="69" t="n"/>
      <c r="E12" t="inlineStr">
        <is>
          <t>Negative</t>
        </is>
      </c>
      <c r="G12" t="inlineStr">
        <is>
          <t>Negative</t>
        </is>
      </c>
      <c r="I12" t="inlineStr">
        <is>
          <t>Negative</t>
        </is>
      </c>
      <c r="K12" t="inlineStr">
        <is>
          <t>Negative</t>
        </is>
      </c>
      <c r="M12" t="inlineStr">
        <is>
          <t>Negative</t>
        </is>
      </c>
    </row>
    <row r="13">
      <c r="A13" s="106" t="inlineStr">
        <is>
          <t>DT.Sweat</t>
        </is>
      </c>
      <c r="B13" s="69" t="n"/>
      <c r="E13" t="inlineStr">
        <is>
          <t>Positive for:</t>
        </is>
      </c>
      <c r="G13" t="inlineStr">
        <is>
          <t>Positive for:</t>
        </is>
      </c>
      <c r="I13" t="inlineStr">
        <is>
          <t>Positive for:</t>
        </is>
      </c>
      <c r="K13" t="inlineStr">
        <is>
          <t>Positive for:</t>
        </is>
      </c>
      <c r="M13" t="inlineStr">
        <is>
          <t>Positive for:</t>
        </is>
      </c>
    </row>
    <row r="14">
      <c r="A14" s="69" t="n"/>
      <c r="B14" s="69" t="n"/>
    </row>
    <row r="15">
      <c r="A15" s="69" t="n"/>
      <c r="B15" s="69" t="n"/>
    </row>
    <row r="18">
      <c r="E18" s="106" t="inlineStr">
        <is>
          <t>STAFF NAMES</t>
        </is>
      </c>
    </row>
    <row r="19">
      <c r="A19" s="103" t="inlineStr">
        <is>
          <t>DT - Breath</t>
        </is>
      </c>
      <c r="B19" s="103" t="inlineStr">
        <is>
          <t>Admission</t>
        </is>
      </c>
      <c r="C19" t="n">
        <v>15</v>
      </c>
      <c r="E19" s="12" t="inlineStr">
        <is>
          <t>Brenda Russell</t>
        </is>
      </c>
      <c r="F19" t="inlineStr">
        <is>
          <t>BR</t>
        </is>
      </c>
    </row>
    <row r="20">
      <c r="A20" s="103" t="inlineStr">
        <is>
          <t>DT - Swab</t>
        </is>
      </c>
      <c r="B20" s="103" t="inlineStr">
        <is>
          <t>Refusal</t>
        </is>
      </c>
      <c r="C20" t="n">
        <v>15</v>
      </c>
      <c r="E20" s="12" t="inlineStr">
        <is>
          <t>Sheila Decker</t>
        </is>
      </c>
      <c r="F20" t="inlineStr">
        <is>
          <t>SD</t>
        </is>
      </c>
    </row>
    <row r="21">
      <c r="A21" s="103" t="inlineStr">
        <is>
          <t>DT - Urine</t>
        </is>
      </c>
      <c r="B21" s="103" t="inlineStr">
        <is>
          <t>No Show</t>
        </is>
      </c>
      <c r="C21" t="n">
        <v>15</v>
      </c>
      <c r="E21" s="12" t="inlineStr">
        <is>
          <t>Pamela Spier-Edmond</t>
        </is>
      </c>
      <c r="F21" t="inlineStr">
        <is>
          <t>PSE</t>
        </is>
      </c>
    </row>
    <row r="22">
      <c r="A22" s="103" t="inlineStr">
        <is>
          <t>DT - Patch</t>
        </is>
      </c>
      <c r="B22" s="103" t="inlineStr">
        <is>
          <t>Negative</t>
        </is>
      </c>
      <c r="C22" t="n">
        <v>60</v>
      </c>
      <c r="E22" s="12" t="inlineStr">
        <is>
          <t>Amanda Weinman</t>
        </is>
      </c>
      <c r="F22" t="inlineStr">
        <is>
          <t>AW</t>
        </is>
      </c>
    </row>
    <row r="23">
      <c r="A23" s="103" t="inlineStr">
        <is>
          <t>DT - Sweat</t>
        </is>
      </c>
      <c r="B23" s="103" t="inlineStr">
        <is>
          <t>Positive for:</t>
        </is>
      </c>
      <c r="C23" t="n">
        <v>60</v>
      </c>
      <c r="E23" s="12" t="inlineStr">
        <is>
          <t>Kris Zeilinger</t>
        </is>
      </c>
      <c r="F23" t="inlineStr">
        <is>
          <t>KZ</t>
        </is>
      </c>
    </row>
    <row r="24">
      <c r="E24" s="12" t="inlineStr">
        <is>
          <t>Kyle Fox</t>
        </is>
      </c>
      <c r="F24" t="inlineStr">
        <is>
          <t>KF</t>
        </is>
      </c>
    </row>
    <row r="25" ht="15" customHeight="1">
      <c r="A25" s="103" t="inlineStr">
        <is>
          <t>PT</t>
        </is>
      </c>
      <c r="B25" s="103" t="inlineStr">
        <is>
          <t>Prep - Advance Cancellation</t>
        </is>
      </c>
      <c r="C25" t="n">
        <v>23.5</v>
      </c>
      <c r="E25" s="117" t="inlineStr">
        <is>
          <t>Payton Kelly</t>
        </is>
      </c>
      <c r="F25" t="inlineStr">
        <is>
          <t>PK</t>
        </is>
      </c>
    </row>
    <row r="26" ht="15" customHeight="1">
      <c r="A26" s="103" t="inlineStr">
        <is>
          <t>FS-OH</t>
        </is>
      </c>
      <c r="B26" s="103" t="inlineStr">
        <is>
          <t>Prep - Enroute Cancellation</t>
        </is>
      </c>
      <c r="C26" t="n">
        <v>23.5</v>
      </c>
      <c r="E26" s="117" t="inlineStr">
        <is>
          <t>Ronda Cary</t>
        </is>
      </c>
      <c r="F26" t="inlineStr">
        <is>
          <t>RC</t>
        </is>
      </c>
    </row>
    <row r="27">
      <c r="A27" s="103" t="inlineStr">
        <is>
          <t>FS-IH</t>
        </is>
      </c>
      <c r="B27" s="103" t="inlineStr">
        <is>
          <t>Prep - No Show</t>
        </is>
      </c>
      <c r="C27" t="n">
        <v>23.5</v>
      </c>
      <c r="E27" s="12" t="inlineStr">
        <is>
          <t>Sheila Decker</t>
        </is>
      </c>
      <c r="F27" t="inlineStr">
        <is>
          <t>SD</t>
        </is>
      </c>
    </row>
    <row r="28">
      <c r="A28" s="103" t="n"/>
      <c r="B28" s="103" t="inlineStr">
        <is>
          <t>Completed</t>
        </is>
      </c>
      <c r="C28" t="n">
        <v>47</v>
      </c>
    </row>
    <row r="30">
      <c r="A30" s="121" t="inlineStr">
        <is>
          <t>Comment Box</t>
        </is>
      </c>
    </row>
    <row r="31">
      <c r="A31" s="105" t="inlineStr">
        <is>
          <t>Enroute Cancel</t>
        </is>
      </c>
    </row>
    <row r="32">
      <c r="A32" s="105" t="inlineStr">
        <is>
          <t>No Show</t>
        </is>
      </c>
    </row>
    <row r="33">
      <c r="A33" s="105" t="n"/>
    </row>
    <row r="34">
      <c r="A34" s="105" t="n"/>
    </row>
  </sheetData>
  <pageMargins left="0.75" right="0.75" top="1" bottom="1" header="0.5" footer="0.5"/>
  <pageSetup orientation="portrait" verticalDpi="0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topLeftCell="A2" workbookViewId="0">
      <selection activeCell="A16" sqref="A16"/>
    </sheetView>
  </sheetViews>
  <sheetFormatPr baseColWidth="10" defaultColWidth="8.83203125" defaultRowHeight="13"/>
  <cols>
    <col width="22.83203125" customWidth="1" min="1" max="1"/>
    <col width="18.33203125" customWidth="1" min="4" max="4"/>
    <col width="12.1640625" customWidth="1" min="5" max="5"/>
  </cols>
  <sheetData>
    <row r="1" ht="16" customHeight="1">
      <c r="A1" s="122" t="inlineStr">
        <is>
          <t>Arou, Agom</t>
        </is>
      </c>
      <c r="B1" s="123" t="n">
        <v>483451</v>
      </c>
    </row>
    <row r="2" ht="16" customHeight="1">
      <c r="A2" s="122" t="inlineStr">
        <is>
          <t>Bartels, Ashley</t>
        </is>
      </c>
      <c r="B2" s="123" t="n">
        <v>698929</v>
      </c>
    </row>
    <row r="3" ht="16" customHeight="1">
      <c r="A3" s="122" t="inlineStr">
        <is>
          <t>Blackeagle, Heather</t>
        </is>
      </c>
      <c r="B3" s="123" t="n">
        <v>162201</v>
      </c>
    </row>
    <row r="4" ht="16" customHeight="1">
      <c r="A4" s="122" t="inlineStr">
        <is>
          <t>Goin, Cierra</t>
        </is>
      </c>
      <c r="B4" s="123" t="n">
        <v>535539</v>
      </c>
    </row>
    <row r="5" ht="16" customHeight="1">
      <c r="A5" s="122" t="inlineStr">
        <is>
          <t>Goodface, Ryan</t>
        </is>
      </c>
      <c r="B5" s="123" t="n">
        <v>334070</v>
      </c>
    </row>
    <row r="6" ht="16" customHeight="1">
      <c r="A6" s="122" t="inlineStr">
        <is>
          <t>Hamner, Jammie</t>
        </is>
      </c>
      <c r="B6" s="123" t="n">
        <v>604045</v>
      </c>
    </row>
    <row r="7" ht="16" customHeight="1">
      <c r="A7" s="122" t="inlineStr">
        <is>
          <t>Harris, Shawntia</t>
        </is>
      </c>
      <c r="B7" s="123" t="n">
        <v>538121</v>
      </c>
    </row>
    <row r="8" ht="16" customHeight="1">
      <c r="A8" s="122" t="inlineStr">
        <is>
          <t>Hussein, Amina</t>
        </is>
      </c>
      <c r="B8" s="123" t="n">
        <v>505390</v>
      </c>
    </row>
    <row r="9" ht="16" customHeight="1">
      <c r="A9" s="122" t="inlineStr">
        <is>
          <t>May, Jalisa</t>
        </is>
      </c>
      <c r="B9" s="123" t="n">
        <v>548161</v>
      </c>
    </row>
    <row r="10" ht="16" customHeight="1">
      <c r="A10" s="122" t="inlineStr">
        <is>
          <t>May, Jalisa</t>
        </is>
      </c>
      <c r="B10" s="123" t="n">
        <v>548161</v>
      </c>
    </row>
    <row r="11" ht="16" customHeight="1">
      <c r="A11" s="122" t="inlineStr">
        <is>
          <t>May, Michael</t>
        </is>
      </c>
      <c r="B11" s="123" t="n">
        <v>548161</v>
      </c>
    </row>
    <row r="12" ht="16" customHeight="1">
      <c r="A12" s="122" t="inlineStr">
        <is>
          <t>Morris, Kyla</t>
        </is>
      </c>
      <c r="B12" s="123" t="n">
        <v>667125</v>
      </c>
    </row>
    <row r="13" ht="16" customHeight="1">
      <c r="A13" s="122" t="inlineStr">
        <is>
          <t xml:space="preserve">O'keefe, Billy </t>
        </is>
      </c>
      <c r="B13" s="123" t="n">
        <v>698929</v>
      </c>
    </row>
    <row r="14" ht="16" customHeight="1">
      <c r="A14" s="122" t="inlineStr">
        <is>
          <t>Vater, Miranda</t>
        </is>
      </c>
      <c r="B14" s="123" t="n">
        <v>449092</v>
      </c>
    </row>
    <row r="15" ht="16" customHeight="1">
      <c r="A15" s="122" t="inlineStr">
        <is>
          <t>Wilson, Quianna</t>
        </is>
      </c>
      <c r="B15" s="123" t="n">
        <v>663042</v>
      </c>
    </row>
    <row r="16" ht="16" customHeight="1">
      <c r="A16" s="113" t="n"/>
      <c r="B16" s="115" t="n"/>
    </row>
    <row r="17" ht="16" customHeight="1">
      <c r="A17" s="113" t="n"/>
      <c r="B17" s="115" t="n"/>
    </row>
    <row r="18" ht="16" customHeight="1">
      <c r="A18" s="113" t="n"/>
      <c r="B18" s="115" t="n"/>
    </row>
    <row r="19" ht="16" customHeight="1">
      <c r="A19" s="113" t="n"/>
      <c r="B19" s="115" t="n"/>
    </row>
    <row r="20" ht="16" customHeight="1">
      <c r="A20" s="113" t="n"/>
      <c r="B20" s="115" t="n"/>
    </row>
    <row r="21" ht="16" customHeight="1">
      <c r="A21" s="113" t="n"/>
      <c r="B21" s="115" t="n"/>
    </row>
    <row r="22" ht="16" customHeight="1">
      <c r="A22" s="113" t="n"/>
      <c r="B22" s="115" t="n"/>
    </row>
    <row r="23" ht="16" customHeight="1">
      <c r="A23" s="113" t="n"/>
      <c r="B23" s="115" t="n"/>
    </row>
    <row r="24" ht="16" customHeight="1">
      <c r="A24" s="113" t="n"/>
      <c r="B24" s="115" t="n"/>
    </row>
    <row r="25" ht="16" customHeight="1">
      <c r="A25" s="113" t="n"/>
      <c r="B25" s="114" t="n"/>
    </row>
    <row r="26" ht="16" customHeight="1">
      <c r="A26" s="113" t="n"/>
      <c r="B26" s="115" t="n"/>
    </row>
    <row r="27" ht="16" customHeight="1">
      <c r="A27" s="113" t="n"/>
      <c r="B27" s="115" t="n"/>
    </row>
    <row r="28" ht="16" customHeight="1">
      <c r="A28" s="113" t="n"/>
      <c r="B28" s="1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cindy</dc:creator>
  <dcterms:created xsi:type="dcterms:W3CDTF">2007-06-26T18:29:22Z</dcterms:created>
  <dcterms:modified xsi:type="dcterms:W3CDTF">2026-02-07T05:41:25Z</dcterms:modified>
  <cp:lastModifiedBy>Brandon Hinrichs</cp:lastModifiedBy>
  <cp:lastPrinted>2015-12-01T19:30:41Z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NewReviewCycle" fmtid="{D5CDD505-2E9C-101B-9397-08002B2CF9AE}" pid="2">
    <vt:lpwstr/>
  </property>
</Properties>
</file>